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mpartido\"/>
    </mc:Choice>
  </mc:AlternateContent>
  <xr:revisionPtr revIDLastSave="0" documentId="13_ncr:1_{380E4EC9-708A-4162-87A6-0B7BB560D0C4}" xr6:coauthVersionLast="47" xr6:coauthVersionMax="47" xr10:uidLastSave="{00000000-0000-0000-0000-000000000000}"/>
  <bookViews>
    <workbookView xWindow="-120" yWindow="-120" windowWidth="29040" windowHeight="15720" xr2:uid="{A0310A34-FD00-4BF0-9660-0FE55207891B}"/>
  </bookViews>
  <sheets>
    <sheet name="Hoja1" sheetId="1" r:id="rId1"/>
  </sheets>
  <definedNames>
    <definedName name="_xlnm._FilterDatabase" localSheetId="0" hidden="1">Hoja1!$B$3:$P$180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81" i="1" l="1"/>
  <c r="P121" i="1"/>
  <c r="P176" i="1"/>
  <c r="P177" i="1"/>
  <c r="P178" i="1"/>
  <c r="P179" i="1"/>
  <c r="P180" i="1"/>
  <c r="P175" i="1"/>
  <c r="P174" i="1"/>
  <c r="P129" i="1"/>
  <c r="P127" i="1"/>
  <c r="P164" i="1"/>
  <c r="P162" i="1"/>
  <c r="P160" i="1"/>
  <c r="P147" i="1"/>
  <c r="P158" i="1"/>
  <c r="P155" i="1"/>
  <c r="P153" i="1"/>
  <c r="P151" i="1"/>
  <c r="P150" i="1"/>
  <c r="P146" i="1"/>
  <c r="P144" i="1"/>
  <c r="P142" i="1"/>
  <c r="P173" i="1"/>
  <c r="P172" i="1" l="1"/>
  <c r="P171" i="1" l="1"/>
  <c r="P170" i="1" l="1"/>
  <c r="P169" i="1"/>
  <c r="P168" i="1"/>
  <c r="P167" i="1"/>
  <c r="P166" i="1"/>
  <c r="P165" i="1"/>
  <c r="P163" i="1"/>
  <c r="P161" i="1"/>
  <c r="P159" i="1"/>
  <c r="P157" i="1"/>
  <c r="P156" i="1"/>
  <c r="P141" i="1"/>
  <c r="P143" i="1"/>
  <c r="P145" i="1"/>
  <c r="P148" i="1"/>
  <c r="P149" i="1"/>
  <c r="P152" i="1"/>
  <c r="P154" i="1"/>
  <c r="P140" i="1"/>
  <c r="P116" i="1"/>
  <c r="P117" i="1"/>
  <c r="P118" i="1"/>
  <c r="P119" i="1"/>
  <c r="P120" i="1"/>
  <c r="P122" i="1"/>
  <c r="P123" i="1"/>
  <c r="P124" i="1"/>
  <c r="P125" i="1"/>
  <c r="P126" i="1"/>
  <c r="P128" i="1"/>
  <c r="P130" i="1"/>
  <c r="P131" i="1"/>
  <c r="P132" i="1"/>
  <c r="P133" i="1"/>
  <c r="P134" i="1"/>
  <c r="P135" i="1"/>
  <c r="P136" i="1"/>
  <c r="P137" i="1"/>
  <c r="P138" i="1"/>
  <c r="P139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77" i="1"/>
  <c r="P68" i="1"/>
  <c r="P69" i="1"/>
  <c r="P70" i="1"/>
  <c r="P71" i="1"/>
  <c r="P72" i="1"/>
  <c r="P73" i="1"/>
  <c r="P74" i="1"/>
  <c r="P75" i="1"/>
  <c r="P76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5" i="1"/>
  <c r="P6" i="1"/>
  <c r="P7" i="1"/>
  <c r="P4" i="1"/>
</calcChain>
</file>

<file path=xl/sharedStrings.xml><?xml version="1.0" encoding="utf-8"?>
<sst xmlns="http://schemas.openxmlformats.org/spreadsheetml/2006/main" count="1047" uniqueCount="218">
  <si>
    <t>PECOSA</t>
  </si>
  <si>
    <t>N° DE PEDIDO</t>
  </si>
  <si>
    <t>ORDEN DE COMPRA</t>
  </si>
  <si>
    <t>ACT. OPERATIVA</t>
  </si>
  <si>
    <t xml:space="preserve">FECHA </t>
  </si>
  <si>
    <t>ARTICULOS SOLICITADOS</t>
  </si>
  <si>
    <t>CODIGO</t>
  </si>
  <si>
    <t>CANTIDAD</t>
  </si>
  <si>
    <t>DESCRIPCION</t>
  </si>
  <si>
    <t>UNIDAD DE MEDIDA</t>
  </si>
  <si>
    <t>MARCA</t>
  </si>
  <si>
    <t>PRECIO UNITARIO</t>
  </si>
  <si>
    <t>TOTAL</t>
  </si>
  <si>
    <t>ORDEN DE DESPACHO</t>
  </si>
  <si>
    <t>GITE</t>
  </si>
  <si>
    <t>C0364 PREPARACION DE EQUIPOS INFORMATICOS ELECTORALES PARA SUFRACIO</t>
  </si>
  <si>
    <t>CABLE USB PARA IMPRESORA X 1.5 m</t>
  </si>
  <si>
    <t>UNIDAD</t>
  </si>
  <si>
    <t>GENERICO</t>
  </si>
  <si>
    <t>ETIQUETA AUTOADHESIVA DE POLIESTER 1.5 in X 2 in X 2000</t>
  </si>
  <si>
    <t>CINTA DE RESINA PARA IMPRESORA TERMICA 65 mm X 74 m</t>
  </si>
  <si>
    <t>C0392 DISEÑO, DESARROLLO Y DESPLIEGUE SOLUCIONES TECNOLOGICAS</t>
  </si>
  <si>
    <t>CLIP MARIPOSA DE METAL 45 mm APROX X 50</t>
  </si>
  <si>
    <t>ARTI CREATIVO</t>
  </si>
  <si>
    <t>ARTESCO</t>
  </si>
  <si>
    <t>PLUMON DE TINTA INDELEBLE  PUNTA FINA COLOR NEGRO</t>
  </si>
  <si>
    <t>BOLIGRAFO (LAPICERO) DE TINTA SECA PUNTA FINA COLOR AZUL</t>
  </si>
  <si>
    <t>BOLIGRAFO (LAPICERO) DE TINTA SECA PUNTA FINA COLOR NEGRO</t>
  </si>
  <si>
    <t>BOLIGRAFO (LAPICERO) DE TINTA SECA PUNTA FINA COLOR ROJO</t>
  </si>
  <si>
    <t>FABER-CASTELL</t>
  </si>
  <si>
    <t>CUADERNO CUADRICULADO TAMAÑO A5 X 100 HOJAS APROX.</t>
  </si>
  <si>
    <t>SIN MARCA</t>
  </si>
  <si>
    <t>CONTRATO N° 31-2024-ONPE " SERVICIO DE SOPORTE Y MNATENIMIENTO DE PKI" - FUN 2024</t>
  </si>
  <si>
    <t>C0626 GESTION DE LA INFRAESTRUCTURA TECNOLOGICA Y SEGURIDAD DE INFORMACION</t>
  </si>
  <si>
    <t>CONSOLA MULTIPLEXOR KVM</t>
  </si>
  <si>
    <t>CONSOLA MULTIPLEXOR KVM 16 PUERTOS</t>
  </si>
  <si>
    <t>DETECTOR DE HUMO FOTOELECTRICO</t>
  </si>
  <si>
    <t xml:space="preserve">EQUIPO DE AIRE ACONDICIONADO DE PRECISION </t>
  </si>
  <si>
    <t>MESA PLEGABLE DE METAL</t>
  </si>
  <si>
    <t>SILLA PLEGABLE DE METAL</t>
  </si>
  <si>
    <t>SISTEMA DE DETECCION CONTRA INCENDIOS</t>
  </si>
  <si>
    <t>LENOVO</t>
  </si>
  <si>
    <t>HOCHIKI</t>
  </si>
  <si>
    <t>COOLNET</t>
  </si>
  <si>
    <t>PLUMON RESALTADOR PUNTA GRUESA BISELADA COLOR AMARILLO</t>
  </si>
  <si>
    <t>PLUMON RESALTADOR PUNTA GRUESA BISELADA COLOR ANARANJADO</t>
  </si>
  <si>
    <t>VINIFAN</t>
  </si>
  <si>
    <t>C0402 GESTION DE LA SEGURIDAD DE INFORMATICA Y TECNOLOGIA ELECTORAL</t>
  </si>
  <si>
    <t>FORMATO CLAVES NUMERADAS</t>
  </si>
  <si>
    <t>MILLAR</t>
  </si>
  <si>
    <t>C0167 GESTION DE SOLUCIONES EN TECNOLOGIAS DE INFORMACION</t>
  </si>
  <si>
    <t>BORRADOR BLANCO PARA LAPIZ TAMAÑO CHICO</t>
  </si>
  <si>
    <t xml:space="preserve">FOLDER  MANILA TAMAÑO A4 </t>
  </si>
  <si>
    <t>OVE</t>
  </si>
  <si>
    <t>TWINS</t>
  </si>
  <si>
    <t>PLUMON DE TINTA INDELEBLE  PUNTA FINA COLOR AZUL</t>
  </si>
  <si>
    <t>PLUMON MARCADOR DE TINTA AL AGUA PUNTA GRUESA COLOR NEGRO</t>
  </si>
  <si>
    <t>PLUMON DE PIZARRA ACRILICA PUNTA GRUESA COLOR AZUL</t>
  </si>
  <si>
    <t>PLUMON DE PIZARRA ACRILICA PUNTA GRUESA COLOR NEGRO</t>
  </si>
  <si>
    <t>PLUMON DE PIZARRA ACRILICA PUNTA GRUESA COLOR ROJO</t>
  </si>
  <si>
    <t>PLUMON DE PIZARRA ACRILICA PUNTA GRUESA COLOR VERDE</t>
  </si>
  <si>
    <t>PLUMON RESALTADOR PUNTA GRUESA BISELADA COLOR CELESTE</t>
  </si>
  <si>
    <t>PLUMON RESALTADOR PUNTA GRUESA BISELADA COLOR VERDE</t>
  </si>
  <si>
    <t>SGIST</t>
  </si>
  <si>
    <t>C0177 GESTION DE LA INFRAESTRUCTURA TECNOLOGICA</t>
  </si>
  <si>
    <t>BOLSA DE PAÑO PARA ASPIRADORA ELECTRICA KACHER DW3 PREMIUM</t>
  </si>
  <si>
    <t>KARCHER</t>
  </si>
  <si>
    <t xml:space="preserve">ADAPTADOR DE HDMI MACHO VGA HEMBRA </t>
  </si>
  <si>
    <t>ADAPTADOR SSD M.2 A USB</t>
  </si>
  <si>
    <t>BATERIA RECARGABLE DE 9V</t>
  </si>
  <si>
    <t>CABLE CONVERTIDOR ADAPTADOR HDMI A DISPLAYPORT</t>
  </si>
  <si>
    <t xml:space="preserve">CABLE USB PARA IMPRESORA X 1.8 m </t>
  </si>
  <si>
    <t xml:space="preserve">DESARMADOR ESTRELLA 1/4 in x 4 in </t>
  </si>
  <si>
    <t>PILA RECARGABLE 1.5 V TAMAÑO AAA X 4 UND</t>
  </si>
  <si>
    <t>PILA RECARGABLE 1.2 V TAMAÑO AA X 4 UND</t>
  </si>
  <si>
    <t>TARUGO DE PVC 5/16 in</t>
  </si>
  <si>
    <t>TARUGO DE PVC 1/4 in</t>
  </si>
  <si>
    <t xml:space="preserve">TORNILLO DE ACERO AUTOPERFORANTE 5/16 in x 1 in </t>
  </si>
  <si>
    <t>TORNILLO DE ACERO AUTORROSCANTE 1/4 in X 1 in</t>
  </si>
  <si>
    <t>CIENTO</t>
  </si>
  <si>
    <t>GLINK</t>
  </si>
  <si>
    <t>DELCOM</t>
  </si>
  <si>
    <t>CAMELION</t>
  </si>
  <si>
    <t>AMERICAN</t>
  </si>
  <si>
    <t>TRUPER</t>
  </si>
  <si>
    <t>EGOSA</t>
  </si>
  <si>
    <t>NACIONAL</t>
  </si>
  <si>
    <t>PRESTACION ADICIONAL AL CONTRATO N° 46-2025-ONPE "SERVICIO DE ACONDICIONAMIENTO DE OFICINA</t>
  </si>
  <si>
    <t>CAJONERA RODABLE DE MELAMINA</t>
  </si>
  <si>
    <t>DETECTOR DE HUMO</t>
  </si>
  <si>
    <t>EQUIPO DE CONTROL DE ACCESO BIOMETRICO</t>
  </si>
  <si>
    <t>EQUIPO DE ILUMINACION DE EMERGENCIA</t>
  </si>
  <si>
    <t xml:space="preserve">MESA DE METAL Y MELAMINA </t>
  </si>
  <si>
    <t>MODULO DE MELAMINA</t>
  </si>
  <si>
    <t>SILLA FIJA DE METAL</t>
  </si>
  <si>
    <t>SIMPLEX</t>
  </si>
  <si>
    <t>ZKTECO</t>
  </si>
  <si>
    <t>OPALUX</t>
  </si>
  <si>
    <t>TONER DE IMPRESIÓN PARA HP COD. REF. 414A W2020A NEGRO</t>
  </si>
  <si>
    <t>TONER DE IMPRESIÓN PARA HP COD. REF. 414A W2021A CIAN</t>
  </si>
  <si>
    <t>HP</t>
  </si>
  <si>
    <t>CONTRATO N° 46-2025-ONPE "SERVICIO DE ACONDICIONAMIENTO DE OFICINAS - EP 2025"</t>
  </si>
  <si>
    <t xml:space="preserve">EXTRACTOR DE AIRE </t>
  </si>
  <si>
    <t>TONER DE IMPRESIÓN PARA HP COD.REF. 414A W2022A AMARILLO</t>
  </si>
  <si>
    <t>TONER DE IMPRESIÓN PARA HP COD.REF. W2023A MAGENTA</t>
  </si>
  <si>
    <t>TONER DE IMPRESIÓN PARA KYOCERA COD. REF. TK 8547K NEGRO</t>
  </si>
  <si>
    <t>KYOCERA</t>
  </si>
  <si>
    <t>TONER DE IMPRESIÓN PARA KYOCERA COD. REF. TK 8547C CIAN</t>
  </si>
  <si>
    <t>TONER DE IMPRESIÓN PARA KYOCERA COD. REF. TK 8547M MAGENTA</t>
  </si>
  <si>
    <t>TONER DE IMPRESIÓN PARA KYOCERA COD. REF. TK 8547Y AMARILLO</t>
  </si>
  <si>
    <t>PREMIUM</t>
  </si>
  <si>
    <t>CABLE HDMI MACHO - MACHO X 20m</t>
  </si>
  <si>
    <t>TONER DE IMPRESIÓN PARA XEROX COD. REF. 006R04672 NEGRO</t>
  </si>
  <si>
    <t>XEROX</t>
  </si>
  <si>
    <t xml:space="preserve">RICOH </t>
  </si>
  <si>
    <t>TONER DE IMPRESIÓN PARA RICOH COD. REF. 842542 NEGRO</t>
  </si>
  <si>
    <t>TONER DE IMPRESIÓN PARA RICOH COD. REF. 842543 AMARILLO</t>
  </si>
  <si>
    <t>TONER DE IMPRESIÓN PARA RICOH COD. REF. 842544 MAGENTA</t>
  </si>
  <si>
    <t>TONER DE IMPRESIÓN PARA RICOH COD. REF. 842545 CIAN</t>
  </si>
  <si>
    <t>PAPEL BOND 80 g TAMAÑO A4</t>
  </si>
  <si>
    <t>PAPEL BOND 80 g TAMAÑO A3</t>
  </si>
  <si>
    <t>EMP X 500</t>
  </si>
  <si>
    <t>EMP X 501</t>
  </si>
  <si>
    <t>C0399 GESTION DE LA INFRAESTRUCTURA TECNOLOGICA Y BASE DE DATOS</t>
  </si>
  <si>
    <t>TAJADOR DE METAL CON DEPOSITO</t>
  </si>
  <si>
    <t>CINTA ADHESIVA TRANSPARENTE 1/2 in X 72 yd APROX</t>
  </si>
  <si>
    <t>GRAPA 26/6 X 5000</t>
  </si>
  <si>
    <t>CAJA</t>
  </si>
  <si>
    <t>REGLA DE METAL 30 cm</t>
  </si>
  <si>
    <t>CINTA DE PLASTICO ADHESIVA PARA EMBALAJE 2 in X 110 yd APROX</t>
  </si>
  <si>
    <t>NOTA AUTOADHESIVA 75 mm X 75 mm APROX X 500 HOJAS</t>
  </si>
  <si>
    <t>DISPENSADOR DE MANO PARA CINTA DE EMBALAJE DE 2 in</t>
  </si>
  <si>
    <t>PLUMON DE TINTA INDELEBLE PUNTA GRUESA COLOR AZUL</t>
  </si>
  <si>
    <t>PLUMON DE TINTA INDELEBLE PUNTA FINA COLOR AZUL</t>
  </si>
  <si>
    <t>DISPENSADOR DE CINTA ADHESIVA DE 1/2 in X 72 yd</t>
  </si>
  <si>
    <t xml:space="preserve">BORRADOR BLANCO PARA LAPIZ TAMAÑO GRANDE </t>
  </si>
  <si>
    <t>C0396 MANTENIMIENTO Y SOPORTE A LAS SOLUCIONES TECNOLOGICAS</t>
  </si>
  <si>
    <t>BOLSA DE POLIETILENO TRANSPARENTE CON CINTA ADHESIVA 50 cm x 45 cm x 64 cm APROX</t>
  </si>
  <si>
    <t xml:space="preserve">DISPENSADOR DE AGUA PORTATIL PARA BIDON </t>
  </si>
  <si>
    <t>QR</t>
  </si>
  <si>
    <t>ALCOHOL ISOPROPILICO (ISOPROPANOL) Q.O. X 1 gal</t>
  </si>
  <si>
    <t xml:space="preserve"> CORTINA DE TELA TIPO SCREEN ENROLLABLE 1.21 m X 2.00 m</t>
  </si>
  <si>
    <t xml:space="preserve"> CORTINA DE TELA TIPO SCREEN ENROLLABLE 1.25 m X 2.00 m</t>
  </si>
  <si>
    <t>C0392 DISEÑO DESARROLLO Y DESPLIEGUE SOLUCIONES TECNOLOGICAS</t>
  </si>
  <si>
    <t>REGLETA ELECTRICA DE 08 TOMAS</t>
  </si>
  <si>
    <t>QRUBBER</t>
  </si>
  <si>
    <t>ROMPEMUELLE DE CAUCHO 5 cm X 30 cm X 1.00 m</t>
  </si>
  <si>
    <t>CANON</t>
  </si>
  <si>
    <t>TONER DE IMPRESIÓN PARA CANON COD. REF. GPR 57 0473C003 NEGRO</t>
  </si>
  <si>
    <t>ALKHOFAR</t>
  </si>
  <si>
    <t>GUANTE PARA EXAMEN DESCARTABLE DE NITRILO SIN POLVO TALLA L X 100</t>
  </si>
  <si>
    <t>GUANTE PARA EXAMEN DESCARTABLE DE NITRILO SIN POLVO TALLA M X 100</t>
  </si>
  <si>
    <t>CORTINA DE TELA TIPO SCREEN ENROLLABLE 1.13 m X 2.00 m</t>
  </si>
  <si>
    <t>CORTINA DE TELA TIPO SCREEN ENROLLABLE 1.21 m X 2.00 m</t>
  </si>
  <si>
    <t>CABLE PARA FUENTE DE PODER</t>
  </si>
  <si>
    <t>TONER DE IMPRESIÓN PARA HP COD. REF. 414X W2022X AMARILLO</t>
  </si>
  <si>
    <t>TONER DE IMPRESIÓN PARA HP COD. REF. 414X W2023X MAGENTA</t>
  </si>
  <si>
    <t>TONER DE IMPRESIÓN PARA HP COD. REF. 414X W2021X CIAN</t>
  </si>
  <si>
    <t>TONER DE IMPRESIÓN PARA HP COD. REF. CE410A NEGRO</t>
  </si>
  <si>
    <t>GOOD CLEANER</t>
  </si>
  <si>
    <t>SILICONA PARA LIMPIEZA DE SUPERFICIES X 1L</t>
  </si>
  <si>
    <t>SHURTAPE</t>
  </si>
  <si>
    <t>CINTA ADHESIVA DE TELA PARA DUCTO 2 in X 60 yd</t>
  </si>
  <si>
    <t>PELICULA EXTENSIBLE PARA EMBALAJE (FILM STRECH) 50 cm X 500 m</t>
  </si>
  <si>
    <t>STANDFORD</t>
  </si>
  <si>
    <t>TONER DE IMPRESIÓN PARA HP COD. REF. 664 F6V29AL NEGRO</t>
  </si>
  <si>
    <t>GUANTE DE POLIESTER CON PALMA DE LATEX</t>
  </si>
  <si>
    <t>JUEGO DE LIMPIEZA PARA LAPTOP X 3 PIEZAS (ESCOBILLA, PAÑO, LIQUIDO LIMPIADOR)</t>
  </si>
  <si>
    <t>WAYPE</t>
  </si>
  <si>
    <t>PAR</t>
  </si>
  <si>
    <t>KLG</t>
  </si>
  <si>
    <t>SEGPRO</t>
  </si>
  <si>
    <t>AIRBOOM</t>
  </si>
  <si>
    <t>ETIQUETA DE PAPEL TERMICA 2 in X 1 in X 2000</t>
  </si>
  <si>
    <t>PILA DE LITIO 3 V CR 2032</t>
  </si>
  <si>
    <t>FAJA ERGONOMICA TALLA L</t>
  </si>
  <si>
    <t>FAJA ERGONOMICA TALLA M</t>
  </si>
  <si>
    <t>FAJA ERGONOMICA TALLA XL</t>
  </si>
  <si>
    <t>FAJA ERGONOMICA TALLA XXL</t>
  </si>
  <si>
    <t>ZAPATO DE SEGURIDAD DE CUERO CON PUNTA COMPOSITE</t>
  </si>
  <si>
    <t>STEELPRO</t>
  </si>
  <si>
    <t>PANZER</t>
  </si>
  <si>
    <t>PAÑO DE MICROFIBRA 40 cm X 40 cm APROX</t>
  </si>
  <si>
    <t>FABARLI</t>
  </si>
  <si>
    <t>ALCOHOL ETILICO 70% GEL 1 L</t>
  </si>
  <si>
    <t>DERMA PRO</t>
  </si>
  <si>
    <t>MMULTIMAZ</t>
  </si>
  <si>
    <t>AGUA DE MESA SIN GAS X 20 L APROX</t>
  </si>
  <si>
    <t>VITALIA</t>
  </si>
  <si>
    <t>CINTA DE PAPEL PARA ENMASCARAR - MASKING TAPE 2 in X 40 yd APROX</t>
  </si>
  <si>
    <t>CLIP DE METAL 30 mm APROX X 100</t>
  </si>
  <si>
    <t>LAPIZ NEGRO GRADO 2B CON BORRADOR</t>
  </si>
  <si>
    <t>PLUMON DE TINTA INDELEBLE PUNTA FINA COLOR NEGRO</t>
  </si>
  <si>
    <t>F FERNELLY</t>
  </si>
  <si>
    <t>GALLO</t>
  </si>
  <si>
    <t xml:space="preserve">SOBRE MANILA TAMAÑO A4 </t>
  </si>
  <si>
    <t>EMP X 50</t>
  </si>
  <si>
    <t>FORMATO DE CLAVES NUMERADAS</t>
  </si>
  <si>
    <t>MEMORIA PORTATIL USB (MENOR A 1/4 UIT) DE 32 GB</t>
  </si>
  <si>
    <t>MEMORIA PORTATIL USB (MENOR A 1/4 UIT) DE 64 GB</t>
  </si>
  <si>
    <t>950-2025</t>
  </si>
  <si>
    <t>SWITCH PARA RED SAN DE 24 PUERTOS PARA VIRTUALIZACION</t>
  </si>
  <si>
    <t>SGSI</t>
  </si>
  <si>
    <t>Tipo de PPTO</t>
  </si>
  <si>
    <t>EG 2026 (SEP)</t>
  </si>
  <si>
    <t>DESPACHO DE GITE</t>
  </si>
  <si>
    <t>SGGDI</t>
  </si>
  <si>
    <t>ERM 2026 (EP)</t>
  </si>
  <si>
    <t>SUBGERENCIA</t>
  </si>
  <si>
    <t>EG2026</t>
  </si>
  <si>
    <t>TONER DE IMPRESION PARA HP COD. REF. CE255X NEGRO</t>
  </si>
  <si>
    <t>TONER DE IMPRESION PARA HP COD. REF. CF280X NEGRO</t>
  </si>
  <si>
    <t>TONER DE IMPRESION PARA HP COD. REF. 414X W2020X NEGRO</t>
  </si>
  <si>
    <t>TONER DE IMPRESION PARA HP COD. REF. 414X W2023X MAGENTA</t>
  </si>
  <si>
    <t>TONER DE IMPRESION PARA HP COD. REF. 414X W2021X CIAN</t>
  </si>
  <si>
    <t>TONER DE IMPRESION PARA HP COD. REF. 414X W2022X AMARILLO</t>
  </si>
  <si>
    <t>TONER DE IMPRESION PARA HP COD. REF. CE410A NEGRO</t>
  </si>
  <si>
    <t>CUCHILLA PARA CORTAR PAPEL TAMAÑO MEDIANO (CUTTER PROFESIONAL)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</si>
</sst>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/>
    </xf>
    <xf numFmtId="4" fontId="1" fillId="3" borderId="1" xfId="0" applyNumberFormat="1" applyFont="1" applyFill="1" applyBorder="1" applyAlignment="1">
      <alignment horizontal="center"/>
    </xf>
    <xf numFmtId="4" fontId="0" fillId="0" borderId="1" xfId="0" applyNumberFormat="1" applyBorder="1" applyAlignment="1">
      <alignment horizontal="center" vertical="center"/>
    </xf>
    <xf numFmtId="4" fontId="0" fillId="0" borderId="0" xfId="0" applyNumberFormat="1" applyAlignment="1">
      <alignment horizontal="center"/>
    </xf>
    <xf numFmtId="4" fontId="0" fillId="0" borderId="1" xfId="0" applyNumberFormat="1" applyBorder="1" applyAlignment="1">
      <alignment horizontal="center"/>
    </xf>
    <xf numFmtId="4" fontId="0" fillId="0" borderId="3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4" fontId="1" fillId="3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/>
    </xf>
    <xf numFmtId="1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left"/>
    </xf>
    <xf numFmtId="1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4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D9068-BAF0-4606-93E1-8A076A18FC80}">
  <dimension ref="B2:P181"/>
  <sheetViews>
    <sheetView tabSelected="1" workbookViewId="0">
      <pane ySplit="3" topLeftCell="A152" activePane="bottomLeft" state="frozen"/>
      <selection pane="bottomLeft" activeCell="D186" sqref="D186"/>
    </sheetView>
  </sheetViews>
  <sheetFormatPr baseColWidth="10" defaultRowHeight="15" x14ac:dyDescent="0.25"/>
  <cols>
    <col min="1" max="1" width="3.85546875" customWidth="1"/>
    <col min="2" max="2" width="11.42578125" style="24"/>
    <col min="3" max="3" width="20.140625" style="1" customWidth="1"/>
    <col min="4" max="4" width="11.42578125" style="1"/>
    <col min="5" max="5" width="15" style="1" customWidth="1"/>
    <col min="6" max="6" width="17.42578125" style="1" customWidth="1"/>
    <col min="7" max="7" width="19" style="1" customWidth="1"/>
    <col min="8" max="8" width="23.7109375" style="7" customWidth="1"/>
    <col min="9" max="9" width="16.85546875" style="4" customWidth="1"/>
    <col min="10" max="10" width="11.42578125" style="28"/>
    <col min="11" max="11" width="66" style="7" customWidth="1"/>
    <col min="12" max="12" width="19.5703125" style="1" customWidth="1"/>
    <col min="13" max="13" width="15.42578125" style="1" customWidth="1"/>
    <col min="14" max="14" width="11.42578125" style="28"/>
    <col min="15" max="15" width="19.28515625" style="32" customWidth="1"/>
    <col min="16" max="16" width="11.42578125" style="21"/>
  </cols>
  <sheetData>
    <row r="2" spans="2:16" x14ac:dyDescent="0.25">
      <c r="I2" s="34" t="s">
        <v>5</v>
      </c>
      <c r="J2" s="34"/>
      <c r="K2" s="34"/>
      <c r="L2" s="34"/>
      <c r="M2" s="34" t="s">
        <v>13</v>
      </c>
      <c r="N2" s="34"/>
      <c r="O2" s="34"/>
      <c r="P2" s="34"/>
    </row>
    <row r="3" spans="2:16" x14ac:dyDescent="0.25">
      <c r="B3" s="33" t="s">
        <v>4</v>
      </c>
      <c r="C3" s="2" t="s">
        <v>2</v>
      </c>
      <c r="D3" s="2" t="s">
        <v>0</v>
      </c>
      <c r="E3" s="2" t="s">
        <v>1</v>
      </c>
      <c r="F3" s="2" t="s">
        <v>203</v>
      </c>
      <c r="G3" s="2" t="s">
        <v>208</v>
      </c>
      <c r="H3" s="2" t="s">
        <v>3</v>
      </c>
      <c r="I3" s="3" t="s">
        <v>6</v>
      </c>
      <c r="J3" s="25" t="s">
        <v>7</v>
      </c>
      <c r="K3" s="2" t="s">
        <v>8</v>
      </c>
      <c r="L3" s="2" t="s">
        <v>9</v>
      </c>
      <c r="M3" s="2" t="s">
        <v>10</v>
      </c>
      <c r="N3" s="25" t="s">
        <v>7</v>
      </c>
      <c r="O3" s="29" t="s">
        <v>11</v>
      </c>
      <c r="P3" s="19" t="s">
        <v>12</v>
      </c>
    </row>
    <row r="4" spans="2:16" ht="15" customHeight="1" x14ac:dyDescent="0.25">
      <c r="B4" s="9">
        <v>46104</v>
      </c>
      <c r="C4" s="6">
        <v>116</v>
      </c>
      <c r="D4" s="6">
        <v>115</v>
      </c>
      <c r="E4" s="6">
        <v>116</v>
      </c>
      <c r="F4" s="6" t="s">
        <v>209</v>
      </c>
      <c r="G4" s="6" t="s">
        <v>63</v>
      </c>
      <c r="H4" s="17" t="s">
        <v>15</v>
      </c>
      <c r="I4" s="10">
        <v>767500493460</v>
      </c>
      <c r="J4" s="26">
        <v>500</v>
      </c>
      <c r="K4" s="8" t="s">
        <v>16</v>
      </c>
      <c r="L4" s="6" t="s">
        <v>17</v>
      </c>
      <c r="M4" s="6" t="s">
        <v>18</v>
      </c>
      <c r="N4" s="26">
        <v>500</v>
      </c>
      <c r="O4" s="30">
        <v>32.299999999999997</v>
      </c>
      <c r="P4" s="20">
        <f>N4*O4</f>
        <v>16149.999999999998</v>
      </c>
    </row>
    <row r="5" spans="2:16" x14ac:dyDescent="0.25">
      <c r="B5" s="9">
        <v>46104</v>
      </c>
      <c r="C5" s="6">
        <v>116</v>
      </c>
      <c r="D5" s="6">
        <v>115</v>
      </c>
      <c r="E5" s="6">
        <v>116</v>
      </c>
      <c r="F5" s="6" t="s">
        <v>209</v>
      </c>
      <c r="G5" s="6" t="s">
        <v>63</v>
      </c>
      <c r="H5" s="5" t="s">
        <v>15</v>
      </c>
      <c r="I5" s="10">
        <v>710300050661</v>
      </c>
      <c r="J5" s="26">
        <v>50</v>
      </c>
      <c r="K5" s="8" t="s">
        <v>19</v>
      </c>
      <c r="L5" s="6" t="s">
        <v>17</v>
      </c>
      <c r="M5" s="6" t="s">
        <v>18</v>
      </c>
      <c r="N5" s="26">
        <v>50</v>
      </c>
      <c r="O5" s="30">
        <v>25</v>
      </c>
      <c r="P5" s="20">
        <f t="shared" ref="P5:P66" si="0">N5*O5</f>
        <v>1250</v>
      </c>
    </row>
    <row r="6" spans="2:16" x14ac:dyDescent="0.25">
      <c r="B6" s="13">
        <v>46104</v>
      </c>
      <c r="C6" s="11">
        <v>118</v>
      </c>
      <c r="D6" s="11">
        <v>114</v>
      </c>
      <c r="E6" s="11">
        <v>115</v>
      </c>
      <c r="F6" s="11" t="s">
        <v>209</v>
      </c>
      <c r="G6" s="11" t="s">
        <v>63</v>
      </c>
      <c r="H6" s="14" t="s">
        <v>15</v>
      </c>
      <c r="I6" s="12">
        <v>767400090293</v>
      </c>
      <c r="J6" s="26">
        <v>50</v>
      </c>
      <c r="K6" s="8" t="s">
        <v>20</v>
      </c>
      <c r="L6" s="6" t="s">
        <v>17</v>
      </c>
      <c r="M6" s="6" t="s">
        <v>18</v>
      </c>
      <c r="N6" s="26">
        <v>50</v>
      </c>
      <c r="O6" s="30">
        <v>22.96</v>
      </c>
      <c r="P6" s="20">
        <f t="shared" si="0"/>
        <v>1148</v>
      </c>
    </row>
    <row r="7" spans="2:16" ht="15" customHeight="1" x14ac:dyDescent="0.25">
      <c r="B7" s="16">
        <v>46179</v>
      </c>
      <c r="C7" s="15">
        <v>332</v>
      </c>
      <c r="D7" s="15">
        <v>435</v>
      </c>
      <c r="E7" s="15">
        <v>443</v>
      </c>
      <c r="F7" s="15" t="s">
        <v>204</v>
      </c>
      <c r="G7" s="11" t="s">
        <v>202</v>
      </c>
      <c r="H7" s="18" t="s">
        <v>21</v>
      </c>
      <c r="I7" s="12">
        <v>718500050041</v>
      </c>
      <c r="J7" s="26">
        <v>30</v>
      </c>
      <c r="K7" s="8" t="s">
        <v>22</v>
      </c>
      <c r="L7" s="6" t="s">
        <v>17</v>
      </c>
      <c r="M7" s="6" t="s">
        <v>23</v>
      </c>
      <c r="N7" s="26">
        <v>30</v>
      </c>
      <c r="O7" s="30">
        <v>3.233333</v>
      </c>
      <c r="P7" s="20">
        <f>N7*O7</f>
        <v>96.999989999999997</v>
      </c>
    </row>
    <row r="8" spans="2:16" x14ac:dyDescent="0.25">
      <c r="B8" s="16">
        <v>46179</v>
      </c>
      <c r="C8" s="15">
        <v>332</v>
      </c>
      <c r="D8" s="15">
        <v>435</v>
      </c>
      <c r="E8" s="15">
        <v>443</v>
      </c>
      <c r="F8" s="15" t="s">
        <v>204</v>
      </c>
      <c r="G8" s="11" t="s">
        <v>202</v>
      </c>
      <c r="H8" s="18" t="s">
        <v>21</v>
      </c>
      <c r="I8" s="12">
        <v>716000060432</v>
      </c>
      <c r="J8" s="26">
        <v>5</v>
      </c>
      <c r="K8" s="8" t="s">
        <v>25</v>
      </c>
      <c r="L8" s="6" t="s">
        <v>17</v>
      </c>
      <c r="M8" s="6" t="s">
        <v>24</v>
      </c>
      <c r="N8" s="26">
        <v>5</v>
      </c>
      <c r="O8" s="30">
        <v>2.82</v>
      </c>
      <c r="P8" s="20">
        <f>N8*O8</f>
        <v>14.1</v>
      </c>
    </row>
    <row r="9" spans="2:16" x14ac:dyDescent="0.25">
      <c r="B9" s="16">
        <v>46179</v>
      </c>
      <c r="C9" s="11">
        <v>329</v>
      </c>
      <c r="D9" s="11">
        <v>434</v>
      </c>
      <c r="E9" s="11">
        <v>442</v>
      </c>
      <c r="F9" s="15" t="s">
        <v>204</v>
      </c>
      <c r="G9" s="11" t="s">
        <v>202</v>
      </c>
      <c r="H9" s="14" t="s">
        <v>21</v>
      </c>
      <c r="I9" s="12">
        <v>716000010208</v>
      </c>
      <c r="J9" s="26">
        <v>50</v>
      </c>
      <c r="K9" s="8" t="s">
        <v>26</v>
      </c>
      <c r="L9" s="6" t="s">
        <v>17</v>
      </c>
      <c r="M9" s="6" t="s">
        <v>29</v>
      </c>
      <c r="N9" s="26">
        <v>50</v>
      </c>
      <c r="O9" s="30">
        <v>1.1681999999999999</v>
      </c>
      <c r="P9" s="20">
        <f t="shared" si="0"/>
        <v>58.41</v>
      </c>
    </row>
    <row r="10" spans="2:16" x14ac:dyDescent="0.25">
      <c r="B10" s="16">
        <v>46179</v>
      </c>
      <c r="C10" s="11">
        <v>329</v>
      </c>
      <c r="D10" s="11">
        <v>434</v>
      </c>
      <c r="E10" s="11">
        <v>442</v>
      </c>
      <c r="F10" s="15" t="s">
        <v>204</v>
      </c>
      <c r="G10" s="11" t="s">
        <v>202</v>
      </c>
      <c r="H10" s="14" t="s">
        <v>21</v>
      </c>
      <c r="I10" s="12">
        <v>716000010209</v>
      </c>
      <c r="J10" s="26">
        <v>50</v>
      </c>
      <c r="K10" s="8" t="s">
        <v>27</v>
      </c>
      <c r="L10" s="6" t="s">
        <v>17</v>
      </c>
      <c r="M10" s="6" t="s">
        <v>29</v>
      </c>
      <c r="N10" s="26">
        <v>50</v>
      </c>
      <c r="O10" s="30">
        <v>1.1681999999999999</v>
      </c>
      <c r="P10" s="20">
        <f t="shared" si="0"/>
        <v>58.41</v>
      </c>
    </row>
    <row r="11" spans="2:16" x14ac:dyDescent="0.25">
      <c r="B11" s="16">
        <v>46179</v>
      </c>
      <c r="C11" s="11">
        <v>329</v>
      </c>
      <c r="D11" s="11">
        <v>434</v>
      </c>
      <c r="E11" s="11">
        <v>442</v>
      </c>
      <c r="F11" s="15" t="s">
        <v>204</v>
      </c>
      <c r="G11" s="11" t="s">
        <v>202</v>
      </c>
      <c r="H11" s="14" t="s">
        <v>21</v>
      </c>
      <c r="I11" s="12">
        <v>716000010187</v>
      </c>
      <c r="J11" s="26">
        <v>25</v>
      </c>
      <c r="K11" s="8" t="s">
        <v>28</v>
      </c>
      <c r="L11" s="6" t="s">
        <v>17</v>
      </c>
      <c r="M11" s="6" t="s">
        <v>29</v>
      </c>
      <c r="N11" s="26">
        <v>25</v>
      </c>
      <c r="O11" s="30">
        <v>1.1684000000000001</v>
      </c>
      <c r="P11" s="20">
        <f t="shared" si="0"/>
        <v>29.21</v>
      </c>
    </row>
    <row r="12" spans="2:16" x14ac:dyDescent="0.25">
      <c r="B12" s="16">
        <v>46178</v>
      </c>
      <c r="C12" s="11">
        <v>333</v>
      </c>
      <c r="D12" s="11">
        <v>430</v>
      </c>
      <c r="E12" s="11">
        <v>437</v>
      </c>
      <c r="F12" s="11" t="s">
        <v>204</v>
      </c>
      <c r="G12" s="11" t="s">
        <v>202</v>
      </c>
      <c r="H12" s="14" t="s">
        <v>21</v>
      </c>
      <c r="I12" s="12">
        <v>717200030013</v>
      </c>
      <c r="J12" s="26">
        <v>20</v>
      </c>
      <c r="K12" s="8" t="s">
        <v>30</v>
      </c>
      <c r="L12" s="6" t="s">
        <v>17</v>
      </c>
      <c r="M12" s="6" t="s">
        <v>31</v>
      </c>
      <c r="N12" s="26">
        <v>20</v>
      </c>
      <c r="O12" s="30">
        <v>4.9794999999999998</v>
      </c>
      <c r="P12" s="20">
        <f t="shared" si="0"/>
        <v>99.59</v>
      </c>
    </row>
    <row r="13" spans="2:16" x14ac:dyDescent="0.25">
      <c r="B13" s="13">
        <v>46178</v>
      </c>
      <c r="C13" s="14" t="s">
        <v>32</v>
      </c>
      <c r="D13" s="11">
        <v>428</v>
      </c>
      <c r="E13" s="11">
        <v>435</v>
      </c>
      <c r="F13" s="11"/>
      <c r="G13" s="11"/>
      <c r="H13" s="14" t="s">
        <v>33</v>
      </c>
      <c r="I13" s="12">
        <v>740815400001</v>
      </c>
      <c r="J13" s="26">
        <v>1</v>
      </c>
      <c r="K13" s="8" t="s">
        <v>34</v>
      </c>
      <c r="L13" s="6" t="s">
        <v>17</v>
      </c>
      <c r="M13" s="6" t="s">
        <v>41</v>
      </c>
      <c r="N13" s="26">
        <v>1</v>
      </c>
      <c r="O13" s="30">
        <v>6200</v>
      </c>
      <c r="P13" s="20">
        <f t="shared" si="0"/>
        <v>6200</v>
      </c>
    </row>
    <row r="14" spans="2:16" x14ac:dyDescent="0.25">
      <c r="B14" s="13">
        <v>46178</v>
      </c>
      <c r="C14" s="14" t="s">
        <v>32</v>
      </c>
      <c r="D14" s="11">
        <v>428</v>
      </c>
      <c r="E14" s="11">
        <v>435</v>
      </c>
      <c r="F14" s="11"/>
      <c r="G14" s="11"/>
      <c r="H14" s="14" t="s">
        <v>33</v>
      </c>
      <c r="I14" s="12">
        <v>740815400004</v>
      </c>
      <c r="J14" s="26">
        <v>1</v>
      </c>
      <c r="K14" s="8" t="s">
        <v>35</v>
      </c>
      <c r="L14" s="6" t="s">
        <v>17</v>
      </c>
      <c r="M14" s="6" t="s">
        <v>41</v>
      </c>
      <c r="N14" s="26">
        <v>1</v>
      </c>
      <c r="O14" s="30">
        <v>5200</v>
      </c>
      <c r="P14" s="20">
        <f t="shared" si="0"/>
        <v>5200</v>
      </c>
    </row>
    <row r="15" spans="2:16" x14ac:dyDescent="0.25">
      <c r="B15" s="13">
        <v>46178</v>
      </c>
      <c r="C15" s="14" t="s">
        <v>32</v>
      </c>
      <c r="D15" s="11">
        <v>428</v>
      </c>
      <c r="E15" s="11">
        <v>435</v>
      </c>
      <c r="F15" s="11"/>
      <c r="G15" s="11"/>
      <c r="H15" s="14" t="s">
        <v>33</v>
      </c>
      <c r="I15" s="12">
        <v>882221120002</v>
      </c>
      <c r="J15" s="26">
        <v>4</v>
      </c>
      <c r="K15" s="8" t="s">
        <v>36</v>
      </c>
      <c r="L15" s="6" t="s">
        <v>17</v>
      </c>
      <c r="M15" s="6" t="s">
        <v>42</v>
      </c>
      <c r="N15" s="26">
        <v>4</v>
      </c>
      <c r="O15" s="30">
        <v>1100</v>
      </c>
      <c r="P15" s="20">
        <f t="shared" si="0"/>
        <v>4400</v>
      </c>
    </row>
    <row r="16" spans="2:16" x14ac:dyDescent="0.25">
      <c r="B16" s="13">
        <v>46178</v>
      </c>
      <c r="C16" s="14" t="s">
        <v>32</v>
      </c>
      <c r="D16" s="11">
        <v>428</v>
      </c>
      <c r="E16" s="11">
        <v>435</v>
      </c>
      <c r="F16" s="11"/>
      <c r="G16" s="11"/>
      <c r="H16" s="14" t="s">
        <v>33</v>
      </c>
      <c r="I16" s="12">
        <v>112233660001</v>
      </c>
      <c r="J16" s="26">
        <v>1</v>
      </c>
      <c r="K16" s="8" t="s">
        <v>37</v>
      </c>
      <c r="L16" s="6" t="s">
        <v>17</v>
      </c>
      <c r="M16" s="6" t="s">
        <v>43</v>
      </c>
      <c r="N16" s="26">
        <v>1</v>
      </c>
      <c r="O16" s="30">
        <v>75200</v>
      </c>
      <c r="P16" s="20">
        <f t="shared" si="0"/>
        <v>75200</v>
      </c>
    </row>
    <row r="17" spans="2:16" x14ac:dyDescent="0.25">
      <c r="B17" s="13">
        <v>46178</v>
      </c>
      <c r="C17" s="14" t="s">
        <v>32</v>
      </c>
      <c r="D17" s="11">
        <v>428</v>
      </c>
      <c r="E17" s="11">
        <v>435</v>
      </c>
      <c r="F17" s="11"/>
      <c r="G17" s="11"/>
      <c r="H17" s="14" t="s">
        <v>33</v>
      </c>
      <c r="I17" s="12">
        <v>746453390001</v>
      </c>
      <c r="J17" s="26">
        <v>1</v>
      </c>
      <c r="K17" s="8" t="s">
        <v>38</v>
      </c>
      <c r="L17" s="6" t="s">
        <v>17</v>
      </c>
      <c r="M17" s="6" t="s">
        <v>31</v>
      </c>
      <c r="N17" s="26">
        <v>1</v>
      </c>
      <c r="O17" s="30">
        <v>314</v>
      </c>
      <c r="P17" s="20">
        <f t="shared" si="0"/>
        <v>314</v>
      </c>
    </row>
    <row r="18" spans="2:16" x14ac:dyDescent="0.25">
      <c r="B18" s="13">
        <v>46178</v>
      </c>
      <c r="C18" s="14" t="s">
        <v>32</v>
      </c>
      <c r="D18" s="11">
        <v>428</v>
      </c>
      <c r="E18" s="11">
        <v>435</v>
      </c>
      <c r="F18" s="11"/>
      <c r="G18" s="11"/>
      <c r="H18" s="14" t="s">
        <v>33</v>
      </c>
      <c r="I18" s="12">
        <v>746485260001</v>
      </c>
      <c r="J18" s="26">
        <v>1</v>
      </c>
      <c r="K18" s="8" t="s">
        <v>39</v>
      </c>
      <c r="L18" s="6" t="s">
        <v>17</v>
      </c>
      <c r="M18" s="6" t="s">
        <v>31</v>
      </c>
      <c r="N18" s="26">
        <v>1</v>
      </c>
      <c r="O18" s="30">
        <v>85</v>
      </c>
      <c r="P18" s="20">
        <f t="shared" si="0"/>
        <v>85</v>
      </c>
    </row>
    <row r="19" spans="2:16" x14ac:dyDescent="0.25">
      <c r="B19" s="13">
        <v>46178</v>
      </c>
      <c r="C19" s="14" t="s">
        <v>32</v>
      </c>
      <c r="D19" s="11">
        <v>428</v>
      </c>
      <c r="E19" s="11">
        <v>435</v>
      </c>
      <c r="F19" s="11"/>
      <c r="G19" s="11"/>
      <c r="H19" s="14" t="s">
        <v>33</v>
      </c>
      <c r="I19" s="12">
        <v>882295370001</v>
      </c>
      <c r="J19" s="26">
        <v>1</v>
      </c>
      <c r="K19" s="8" t="s">
        <v>40</v>
      </c>
      <c r="L19" s="6" t="s">
        <v>17</v>
      </c>
      <c r="M19" s="6" t="s">
        <v>31</v>
      </c>
      <c r="N19" s="26">
        <v>1</v>
      </c>
      <c r="O19" s="30">
        <v>25750</v>
      </c>
      <c r="P19" s="20">
        <f t="shared" si="0"/>
        <v>25750</v>
      </c>
    </row>
    <row r="20" spans="2:16" x14ac:dyDescent="0.25">
      <c r="B20" s="13">
        <v>46177</v>
      </c>
      <c r="C20" s="11">
        <v>331</v>
      </c>
      <c r="D20" s="11">
        <v>425</v>
      </c>
      <c r="E20" s="11">
        <v>432</v>
      </c>
      <c r="F20" s="11" t="s">
        <v>204</v>
      </c>
      <c r="G20" s="11" t="s">
        <v>202</v>
      </c>
      <c r="H20" s="14" t="s">
        <v>21</v>
      </c>
      <c r="I20" s="12">
        <v>716000060443</v>
      </c>
      <c r="J20" s="26">
        <v>20</v>
      </c>
      <c r="K20" s="8" t="s">
        <v>44</v>
      </c>
      <c r="L20" s="6" t="s">
        <v>17</v>
      </c>
      <c r="M20" s="6" t="s">
        <v>46</v>
      </c>
      <c r="N20" s="26">
        <v>20</v>
      </c>
      <c r="O20" s="30">
        <v>1.4039999999999999</v>
      </c>
      <c r="P20" s="20">
        <f t="shared" si="0"/>
        <v>28.08</v>
      </c>
    </row>
    <row r="21" spans="2:16" x14ac:dyDescent="0.25">
      <c r="B21" s="13">
        <v>46177</v>
      </c>
      <c r="C21" s="11">
        <v>331</v>
      </c>
      <c r="D21" s="11">
        <v>425</v>
      </c>
      <c r="E21" s="11">
        <v>432</v>
      </c>
      <c r="F21" s="11" t="s">
        <v>204</v>
      </c>
      <c r="G21" s="11" t="s">
        <v>202</v>
      </c>
      <c r="H21" s="14" t="s">
        <v>21</v>
      </c>
      <c r="I21" s="12">
        <v>716000060444</v>
      </c>
      <c r="J21" s="26">
        <v>20</v>
      </c>
      <c r="K21" s="8" t="s">
        <v>45</v>
      </c>
      <c r="L21" s="6" t="s">
        <v>17</v>
      </c>
      <c r="M21" s="6" t="s">
        <v>46</v>
      </c>
      <c r="N21" s="26">
        <v>20</v>
      </c>
      <c r="O21" s="30">
        <v>1.4039999999999999</v>
      </c>
      <c r="P21" s="20">
        <f t="shared" si="0"/>
        <v>28.08</v>
      </c>
    </row>
    <row r="22" spans="2:16" x14ac:dyDescent="0.25">
      <c r="B22" s="13">
        <v>46177</v>
      </c>
      <c r="C22" s="11">
        <v>267</v>
      </c>
      <c r="D22" s="11">
        <v>422</v>
      </c>
      <c r="E22" s="11">
        <v>429</v>
      </c>
      <c r="F22" s="11" t="s">
        <v>204</v>
      </c>
      <c r="G22" s="11" t="s">
        <v>14</v>
      </c>
      <c r="H22" s="14" t="s">
        <v>47</v>
      </c>
      <c r="I22" s="12">
        <v>475100018666</v>
      </c>
      <c r="J22" s="26">
        <v>100</v>
      </c>
      <c r="K22" s="8" t="s">
        <v>48</v>
      </c>
      <c r="L22" s="6" t="s">
        <v>49</v>
      </c>
      <c r="M22" s="6" t="s">
        <v>31</v>
      </c>
      <c r="N22" s="26">
        <v>100</v>
      </c>
      <c r="O22" s="30">
        <v>265</v>
      </c>
      <c r="P22" s="20">
        <f t="shared" si="0"/>
        <v>26500</v>
      </c>
    </row>
    <row r="23" spans="2:16" x14ac:dyDescent="0.25">
      <c r="B23" s="13">
        <v>46174</v>
      </c>
      <c r="C23" s="11">
        <v>296</v>
      </c>
      <c r="D23" s="11">
        <v>398</v>
      </c>
      <c r="E23" s="11">
        <v>398</v>
      </c>
      <c r="F23" s="11" t="s">
        <v>207</v>
      </c>
      <c r="G23" s="11" t="s">
        <v>205</v>
      </c>
      <c r="H23" s="14" t="s">
        <v>50</v>
      </c>
      <c r="I23" s="12">
        <v>711100010028</v>
      </c>
      <c r="J23" s="27">
        <v>20</v>
      </c>
      <c r="K23" s="14" t="s">
        <v>51</v>
      </c>
      <c r="L23" s="11" t="s">
        <v>17</v>
      </c>
      <c r="M23" s="11" t="s">
        <v>31</v>
      </c>
      <c r="N23" s="27">
        <v>20</v>
      </c>
      <c r="O23" s="31">
        <v>0.35399999999999998</v>
      </c>
      <c r="P23" s="22">
        <f t="shared" si="0"/>
        <v>7.08</v>
      </c>
    </row>
    <row r="24" spans="2:16" x14ac:dyDescent="0.25">
      <c r="B24" s="13">
        <v>46174</v>
      </c>
      <c r="C24" s="11">
        <v>296</v>
      </c>
      <c r="D24" s="11">
        <v>398</v>
      </c>
      <c r="E24" s="11">
        <v>398</v>
      </c>
      <c r="F24" s="11" t="s">
        <v>207</v>
      </c>
      <c r="G24" s="11" t="s">
        <v>206</v>
      </c>
      <c r="H24" s="14" t="s">
        <v>50</v>
      </c>
      <c r="I24" s="12">
        <v>710600040004</v>
      </c>
      <c r="J24" s="27">
        <v>50</v>
      </c>
      <c r="K24" s="14" t="s">
        <v>52</v>
      </c>
      <c r="L24" s="11" t="s">
        <v>17</v>
      </c>
      <c r="M24" s="11" t="s">
        <v>31</v>
      </c>
      <c r="N24" s="27">
        <v>50</v>
      </c>
      <c r="O24" s="31">
        <v>0.61360000000000003</v>
      </c>
      <c r="P24" s="22">
        <f t="shared" si="0"/>
        <v>30.680000000000003</v>
      </c>
    </row>
    <row r="25" spans="2:16" x14ac:dyDescent="0.25">
      <c r="B25" s="13">
        <v>46170</v>
      </c>
      <c r="C25" s="11">
        <v>303</v>
      </c>
      <c r="D25" s="11">
        <v>367</v>
      </c>
      <c r="E25" s="11">
        <v>370</v>
      </c>
      <c r="F25" s="11" t="s">
        <v>207</v>
      </c>
      <c r="G25" s="11" t="s">
        <v>205</v>
      </c>
      <c r="H25" s="14" t="s">
        <v>50</v>
      </c>
      <c r="I25" s="12">
        <v>716000060432</v>
      </c>
      <c r="J25" s="27">
        <v>20</v>
      </c>
      <c r="K25" s="14" t="s">
        <v>25</v>
      </c>
      <c r="L25" s="11" t="s">
        <v>17</v>
      </c>
      <c r="M25" s="11" t="s">
        <v>53</v>
      </c>
      <c r="N25" s="27">
        <v>20</v>
      </c>
      <c r="O25" s="31">
        <v>1.0855809999999999</v>
      </c>
      <c r="P25" s="22">
        <f t="shared" si="0"/>
        <v>21.711619999999996</v>
      </c>
    </row>
    <row r="26" spans="2:16" x14ac:dyDescent="0.25">
      <c r="B26" s="13">
        <v>46170</v>
      </c>
      <c r="C26" s="11">
        <v>303</v>
      </c>
      <c r="D26" s="11">
        <v>367</v>
      </c>
      <c r="E26" s="11">
        <v>370</v>
      </c>
      <c r="F26" s="11" t="s">
        <v>207</v>
      </c>
      <c r="G26" s="11" t="s">
        <v>205</v>
      </c>
      <c r="H26" s="14" t="s">
        <v>50</v>
      </c>
      <c r="I26" s="12">
        <v>716000060397</v>
      </c>
      <c r="J26" s="27">
        <v>20</v>
      </c>
      <c r="K26" s="14" t="s">
        <v>55</v>
      </c>
      <c r="L26" s="11" t="s">
        <v>17</v>
      </c>
      <c r="M26" s="11" t="s">
        <v>53</v>
      </c>
      <c r="N26" s="27">
        <v>20</v>
      </c>
      <c r="O26" s="31">
        <v>0.67258300000000004</v>
      </c>
      <c r="P26" s="22">
        <f t="shared" si="0"/>
        <v>13.45166</v>
      </c>
    </row>
    <row r="27" spans="2:16" x14ac:dyDescent="0.25">
      <c r="B27" s="13">
        <v>46170</v>
      </c>
      <c r="C27" s="11">
        <v>303</v>
      </c>
      <c r="D27" s="11">
        <v>367</v>
      </c>
      <c r="E27" s="11">
        <v>370</v>
      </c>
      <c r="F27" s="11" t="s">
        <v>207</v>
      </c>
      <c r="G27" s="11" t="s">
        <v>205</v>
      </c>
      <c r="H27" s="14" t="s">
        <v>50</v>
      </c>
      <c r="I27" s="12">
        <v>716000060413</v>
      </c>
      <c r="J27" s="27">
        <v>20</v>
      </c>
      <c r="K27" s="14" t="s">
        <v>56</v>
      </c>
      <c r="L27" s="11" t="s">
        <v>17</v>
      </c>
      <c r="M27" s="11" t="s">
        <v>29</v>
      </c>
      <c r="N27" s="27">
        <v>20</v>
      </c>
      <c r="O27" s="31">
        <v>1.097386</v>
      </c>
      <c r="P27" s="22">
        <f t="shared" si="0"/>
        <v>21.94772</v>
      </c>
    </row>
    <row r="28" spans="2:16" x14ac:dyDescent="0.25">
      <c r="B28" s="13">
        <v>46170</v>
      </c>
      <c r="C28" s="11">
        <v>303</v>
      </c>
      <c r="D28" s="11">
        <v>367</v>
      </c>
      <c r="E28" s="11">
        <v>370</v>
      </c>
      <c r="F28" s="11" t="s">
        <v>207</v>
      </c>
      <c r="G28" s="11" t="s">
        <v>205</v>
      </c>
      <c r="H28" s="14" t="s">
        <v>50</v>
      </c>
      <c r="I28" s="12">
        <v>716000060421</v>
      </c>
      <c r="J28" s="27">
        <v>20</v>
      </c>
      <c r="K28" s="14" t="s">
        <v>57</v>
      </c>
      <c r="L28" s="11" t="s">
        <v>17</v>
      </c>
      <c r="M28" s="11" t="s">
        <v>54</v>
      </c>
      <c r="N28" s="27">
        <v>20</v>
      </c>
      <c r="O28" s="31">
        <v>0.967615</v>
      </c>
      <c r="P28" s="22">
        <f t="shared" si="0"/>
        <v>19.3523</v>
      </c>
    </row>
    <row r="29" spans="2:16" x14ac:dyDescent="0.25">
      <c r="B29" s="13">
        <v>46170</v>
      </c>
      <c r="C29" s="11">
        <v>303</v>
      </c>
      <c r="D29" s="11">
        <v>367</v>
      </c>
      <c r="E29" s="11">
        <v>370</v>
      </c>
      <c r="F29" s="11" t="s">
        <v>207</v>
      </c>
      <c r="G29" s="11" t="s">
        <v>205</v>
      </c>
      <c r="H29" s="14" t="s">
        <v>50</v>
      </c>
      <c r="I29" s="12">
        <v>716000060423</v>
      </c>
      <c r="J29" s="27">
        <v>20</v>
      </c>
      <c r="K29" s="14" t="s">
        <v>58</v>
      </c>
      <c r="L29" s="11" t="s">
        <v>17</v>
      </c>
      <c r="M29" s="11" t="s">
        <v>54</v>
      </c>
      <c r="N29" s="27">
        <v>20</v>
      </c>
      <c r="O29" s="31">
        <v>0.96757899999999997</v>
      </c>
      <c r="P29" s="22">
        <f t="shared" si="0"/>
        <v>19.351579999999998</v>
      </c>
    </row>
    <row r="30" spans="2:16" x14ac:dyDescent="0.25">
      <c r="B30" s="13">
        <v>46170</v>
      </c>
      <c r="C30" s="11">
        <v>303</v>
      </c>
      <c r="D30" s="11">
        <v>367</v>
      </c>
      <c r="E30" s="11">
        <v>370</v>
      </c>
      <c r="F30" s="11" t="s">
        <v>207</v>
      </c>
      <c r="G30" s="11" t="s">
        <v>205</v>
      </c>
      <c r="H30" s="14" t="s">
        <v>50</v>
      </c>
      <c r="I30" s="12">
        <v>716000060405</v>
      </c>
      <c r="J30" s="27">
        <v>20</v>
      </c>
      <c r="K30" s="14" t="s">
        <v>59</v>
      </c>
      <c r="L30" s="11" t="s">
        <v>17</v>
      </c>
      <c r="M30" s="11" t="s">
        <v>54</v>
      </c>
      <c r="N30" s="27">
        <v>20</v>
      </c>
      <c r="O30" s="31">
        <v>0.96755100000000005</v>
      </c>
      <c r="P30" s="22">
        <f t="shared" si="0"/>
        <v>19.351020000000002</v>
      </c>
    </row>
    <row r="31" spans="2:16" x14ac:dyDescent="0.25">
      <c r="B31" s="13">
        <v>46170</v>
      </c>
      <c r="C31" s="11">
        <v>303</v>
      </c>
      <c r="D31" s="11">
        <v>367</v>
      </c>
      <c r="E31" s="11">
        <v>370</v>
      </c>
      <c r="F31" s="11" t="s">
        <v>207</v>
      </c>
      <c r="G31" s="11" t="s">
        <v>205</v>
      </c>
      <c r="H31" s="14" t="s">
        <v>50</v>
      </c>
      <c r="I31" s="12">
        <v>716000060424</v>
      </c>
      <c r="J31" s="27">
        <v>20</v>
      </c>
      <c r="K31" s="14" t="s">
        <v>60</v>
      </c>
      <c r="L31" s="11" t="s">
        <v>17</v>
      </c>
      <c r="M31" s="11" t="s">
        <v>54</v>
      </c>
      <c r="N31" s="27">
        <v>20</v>
      </c>
      <c r="O31" s="31">
        <v>0.97931800000000002</v>
      </c>
      <c r="P31" s="22">
        <f t="shared" si="0"/>
        <v>19.586359999999999</v>
      </c>
    </row>
    <row r="32" spans="2:16" x14ac:dyDescent="0.25">
      <c r="B32" s="13">
        <v>46170</v>
      </c>
      <c r="C32" s="11">
        <v>303</v>
      </c>
      <c r="D32" s="11">
        <v>367</v>
      </c>
      <c r="E32" s="11">
        <v>370</v>
      </c>
      <c r="F32" s="11" t="s">
        <v>207</v>
      </c>
      <c r="G32" s="11" t="s">
        <v>205</v>
      </c>
      <c r="H32" s="14" t="s">
        <v>50</v>
      </c>
      <c r="I32" s="12">
        <v>716000060443</v>
      </c>
      <c r="J32" s="27">
        <v>20</v>
      </c>
      <c r="K32" s="14" t="s">
        <v>44</v>
      </c>
      <c r="L32" s="11" t="s">
        <v>17</v>
      </c>
      <c r="M32" s="11" t="s">
        <v>23</v>
      </c>
      <c r="N32" s="27">
        <v>20</v>
      </c>
      <c r="O32" s="31">
        <v>1.2390669999999999</v>
      </c>
      <c r="P32" s="22">
        <f t="shared" si="0"/>
        <v>24.78134</v>
      </c>
    </row>
    <row r="33" spans="2:16" x14ac:dyDescent="0.25">
      <c r="B33" s="13">
        <v>46170</v>
      </c>
      <c r="C33" s="11">
        <v>303</v>
      </c>
      <c r="D33" s="11">
        <v>367</v>
      </c>
      <c r="E33" s="11">
        <v>370</v>
      </c>
      <c r="F33" s="11" t="s">
        <v>207</v>
      </c>
      <c r="G33" s="11" t="s">
        <v>205</v>
      </c>
      <c r="H33" s="14" t="s">
        <v>50</v>
      </c>
      <c r="I33" s="12">
        <v>716000060444</v>
      </c>
      <c r="J33" s="27">
        <v>20</v>
      </c>
      <c r="K33" s="14" t="s">
        <v>45</v>
      </c>
      <c r="L33" s="11" t="s">
        <v>17</v>
      </c>
      <c r="M33" s="11" t="s">
        <v>23</v>
      </c>
      <c r="N33" s="27">
        <v>20</v>
      </c>
      <c r="O33" s="31">
        <v>1.2625850000000001</v>
      </c>
      <c r="P33" s="22">
        <f t="shared" si="0"/>
        <v>25.2517</v>
      </c>
    </row>
    <row r="34" spans="2:16" x14ac:dyDescent="0.25">
      <c r="B34" s="13">
        <v>46170</v>
      </c>
      <c r="C34" s="11">
        <v>303</v>
      </c>
      <c r="D34" s="11">
        <v>367</v>
      </c>
      <c r="E34" s="11">
        <v>370</v>
      </c>
      <c r="F34" s="11" t="s">
        <v>207</v>
      </c>
      <c r="G34" s="11" t="s">
        <v>205</v>
      </c>
      <c r="H34" s="14" t="s">
        <v>50</v>
      </c>
      <c r="I34" s="12">
        <v>716000060465</v>
      </c>
      <c r="J34" s="27">
        <v>20</v>
      </c>
      <c r="K34" s="14" t="s">
        <v>61</v>
      </c>
      <c r="L34" s="11" t="s">
        <v>17</v>
      </c>
      <c r="M34" s="11" t="s">
        <v>46</v>
      </c>
      <c r="N34" s="27">
        <v>20</v>
      </c>
      <c r="O34" s="31">
        <v>1.4395709999999999</v>
      </c>
      <c r="P34" s="22">
        <f t="shared" si="0"/>
        <v>28.791419999999999</v>
      </c>
    </row>
    <row r="35" spans="2:16" x14ac:dyDescent="0.25">
      <c r="B35" s="13">
        <v>46170</v>
      </c>
      <c r="C35" s="11">
        <v>303</v>
      </c>
      <c r="D35" s="11">
        <v>367</v>
      </c>
      <c r="E35" s="11">
        <v>370</v>
      </c>
      <c r="F35" s="11" t="s">
        <v>207</v>
      </c>
      <c r="G35" s="11" t="s">
        <v>205</v>
      </c>
      <c r="H35" s="14" t="s">
        <v>50</v>
      </c>
      <c r="I35" s="12">
        <v>716000060445</v>
      </c>
      <c r="J35" s="27">
        <v>20</v>
      </c>
      <c r="K35" s="14" t="s">
        <v>62</v>
      </c>
      <c r="L35" s="11" t="s">
        <v>17</v>
      </c>
      <c r="M35" s="11" t="s">
        <v>23</v>
      </c>
      <c r="N35" s="27">
        <v>20</v>
      </c>
      <c r="O35" s="31">
        <v>1.2390000000000001</v>
      </c>
      <c r="P35" s="22">
        <f t="shared" si="0"/>
        <v>24.78</v>
      </c>
    </row>
    <row r="36" spans="2:16" x14ac:dyDescent="0.25">
      <c r="B36" s="13">
        <v>46170</v>
      </c>
      <c r="C36" s="11">
        <v>301</v>
      </c>
      <c r="D36" s="11">
        <v>363</v>
      </c>
      <c r="E36" s="11">
        <v>366</v>
      </c>
      <c r="F36" s="11" t="s">
        <v>207</v>
      </c>
      <c r="G36" s="11" t="s">
        <v>63</v>
      </c>
      <c r="H36" s="14" t="s">
        <v>64</v>
      </c>
      <c r="I36" s="12">
        <v>130300070017</v>
      </c>
      <c r="J36" s="27">
        <v>10</v>
      </c>
      <c r="K36" s="14" t="s">
        <v>65</v>
      </c>
      <c r="L36" s="11" t="s">
        <v>17</v>
      </c>
      <c r="M36" s="11" t="s">
        <v>66</v>
      </c>
      <c r="N36" s="27">
        <v>10</v>
      </c>
      <c r="O36" s="31">
        <v>129</v>
      </c>
      <c r="P36" s="22">
        <f t="shared" si="0"/>
        <v>1290</v>
      </c>
    </row>
    <row r="37" spans="2:16" x14ac:dyDescent="0.25">
      <c r="B37" s="13">
        <v>46164</v>
      </c>
      <c r="C37" s="11">
        <v>272</v>
      </c>
      <c r="D37" s="11">
        <v>342</v>
      </c>
      <c r="E37" s="11">
        <v>346</v>
      </c>
      <c r="F37" s="11" t="s">
        <v>207</v>
      </c>
      <c r="G37" s="11" t="s">
        <v>63</v>
      </c>
      <c r="H37" s="14" t="s">
        <v>64</v>
      </c>
      <c r="I37" s="12">
        <v>285400010196</v>
      </c>
      <c r="J37" s="27">
        <v>5</v>
      </c>
      <c r="K37" s="14" t="s">
        <v>67</v>
      </c>
      <c r="L37" s="11" t="s">
        <v>17</v>
      </c>
      <c r="M37" s="11" t="s">
        <v>80</v>
      </c>
      <c r="N37" s="27">
        <v>5</v>
      </c>
      <c r="O37" s="31">
        <v>27.5</v>
      </c>
      <c r="P37" s="22">
        <f t="shared" si="0"/>
        <v>137.5</v>
      </c>
    </row>
    <row r="38" spans="2:16" x14ac:dyDescent="0.25">
      <c r="B38" s="13">
        <v>46164</v>
      </c>
      <c r="C38" s="11">
        <v>272</v>
      </c>
      <c r="D38" s="11">
        <v>342</v>
      </c>
      <c r="E38" s="11">
        <v>346</v>
      </c>
      <c r="F38" s="11" t="s">
        <v>207</v>
      </c>
      <c r="G38" s="11" t="s">
        <v>63</v>
      </c>
      <c r="H38" s="14" t="s">
        <v>64</v>
      </c>
      <c r="I38" s="12">
        <v>767500310075</v>
      </c>
      <c r="J38" s="27">
        <v>3</v>
      </c>
      <c r="K38" s="14" t="s">
        <v>68</v>
      </c>
      <c r="L38" s="11" t="s">
        <v>17</v>
      </c>
      <c r="M38" s="11" t="s">
        <v>81</v>
      </c>
      <c r="N38" s="27">
        <v>3</v>
      </c>
      <c r="O38" s="31">
        <v>100</v>
      </c>
      <c r="P38" s="22">
        <f t="shared" si="0"/>
        <v>300</v>
      </c>
    </row>
    <row r="39" spans="2:16" x14ac:dyDescent="0.25">
      <c r="B39" s="13">
        <v>46164</v>
      </c>
      <c r="C39" s="11">
        <v>272</v>
      </c>
      <c r="D39" s="11">
        <v>342</v>
      </c>
      <c r="E39" s="11">
        <v>346</v>
      </c>
      <c r="F39" s="11" t="s">
        <v>207</v>
      </c>
      <c r="G39" s="11" t="s">
        <v>63</v>
      </c>
      <c r="H39" s="14" t="s">
        <v>64</v>
      </c>
      <c r="I39" s="12">
        <v>283400420001</v>
      </c>
      <c r="J39" s="27">
        <v>3</v>
      </c>
      <c r="K39" s="14" t="s">
        <v>69</v>
      </c>
      <c r="L39" s="11" t="s">
        <v>17</v>
      </c>
      <c r="M39" s="11" t="s">
        <v>82</v>
      </c>
      <c r="N39" s="27">
        <v>3</v>
      </c>
      <c r="O39" s="31">
        <v>35</v>
      </c>
      <c r="P39" s="22">
        <f t="shared" si="0"/>
        <v>105</v>
      </c>
    </row>
    <row r="40" spans="2:16" x14ac:dyDescent="0.25">
      <c r="B40" s="13">
        <v>46164</v>
      </c>
      <c r="C40" s="11">
        <v>272</v>
      </c>
      <c r="D40" s="11">
        <v>342</v>
      </c>
      <c r="E40" s="11">
        <v>346</v>
      </c>
      <c r="F40" s="11" t="s">
        <v>207</v>
      </c>
      <c r="G40" s="11" t="s">
        <v>63</v>
      </c>
      <c r="H40" s="14" t="s">
        <v>64</v>
      </c>
      <c r="I40" s="12">
        <v>767500010386</v>
      </c>
      <c r="J40" s="27">
        <v>2</v>
      </c>
      <c r="K40" s="14" t="s">
        <v>70</v>
      </c>
      <c r="L40" s="11" t="s">
        <v>17</v>
      </c>
      <c r="M40" s="11" t="s">
        <v>80</v>
      </c>
      <c r="N40" s="27">
        <v>2</v>
      </c>
      <c r="O40" s="31">
        <v>58</v>
      </c>
      <c r="P40" s="22">
        <f t="shared" si="0"/>
        <v>116</v>
      </c>
    </row>
    <row r="41" spans="2:16" x14ac:dyDescent="0.25">
      <c r="B41" s="13">
        <v>46164</v>
      </c>
      <c r="C41" s="11">
        <v>272</v>
      </c>
      <c r="D41" s="11">
        <v>342</v>
      </c>
      <c r="E41" s="11">
        <v>346</v>
      </c>
      <c r="F41" s="11" t="s">
        <v>207</v>
      </c>
      <c r="G41" s="11" t="s">
        <v>63</v>
      </c>
      <c r="H41" s="14" t="s">
        <v>64</v>
      </c>
      <c r="I41" s="12">
        <v>767500492891</v>
      </c>
      <c r="J41" s="27">
        <v>20</v>
      </c>
      <c r="K41" s="14" t="s">
        <v>71</v>
      </c>
      <c r="L41" s="11" t="s">
        <v>17</v>
      </c>
      <c r="M41" s="11" t="s">
        <v>83</v>
      </c>
      <c r="N41" s="27">
        <v>20</v>
      </c>
      <c r="O41" s="31">
        <v>8</v>
      </c>
      <c r="P41" s="22">
        <f t="shared" si="0"/>
        <v>160</v>
      </c>
    </row>
    <row r="42" spans="2:16" x14ac:dyDescent="0.25">
      <c r="B42" s="13">
        <v>46164</v>
      </c>
      <c r="C42" s="11">
        <v>272</v>
      </c>
      <c r="D42" s="11">
        <v>342</v>
      </c>
      <c r="E42" s="11">
        <v>346</v>
      </c>
      <c r="F42" s="11" t="s">
        <v>207</v>
      </c>
      <c r="G42" s="11" t="s">
        <v>63</v>
      </c>
      <c r="H42" s="14" t="s">
        <v>64</v>
      </c>
      <c r="I42" s="12">
        <v>415400020055</v>
      </c>
      <c r="J42" s="27">
        <v>15</v>
      </c>
      <c r="K42" s="14" t="s">
        <v>72</v>
      </c>
      <c r="L42" s="11" t="s">
        <v>17</v>
      </c>
      <c r="M42" s="11" t="s">
        <v>84</v>
      </c>
      <c r="N42" s="27">
        <v>15</v>
      </c>
      <c r="O42" s="31">
        <v>8.6999999999999993</v>
      </c>
      <c r="P42" s="22">
        <f t="shared" si="0"/>
        <v>130.5</v>
      </c>
    </row>
    <row r="43" spans="2:16" x14ac:dyDescent="0.25">
      <c r="B43" s="13">
        <v>46164</v>
      </c>
      <c r="C43" s="11">
        <v>272</v>
      </c>
      <c r="D43" s="11">
        <v>342</v>
      </c>
      <c r="E43" s="11">
        <v>346</v>
      </c>
      <c r="F43" s="11" t="s">
        <v>207</v>
      </c>
      <c r="G43" s="11" t="s">
        <v>63</v>
      </c>
      <c r="H43" s="14" t="s">
        <v>64</v>
      </c>
      <c r="I43" s="12">
        <v>283400120026</v>
      </c>
      <c r="J43" s="27">
        <v>3</v>
      </c>
      <c r="K43" s="14" t="s">
        <v>74</v>
      </c>
      <c r="L43" s="11" t="s">
        <v>17</v>
      </c>
      <c r="M43" s="11" t="s">
        <v>82</v>
      </c>
      <c r="N43" s="27">
        <v>3</v>
      </c>
      <c r="O43" s="31">
        <v>60</v>
      </c>
      <c r="P43" s="22">
        <f t="shared" si="0"/>
        <v>180</v>
      </c>
    </row>
    <row r="44" spans="2:16" x14ac:dyDescent="0.25">
      <c r="B44" s="13">
        <v>46164</v>
      </c>
      <c r="C44" s="11">
        <v>272</v>
      </c>
      <c r="D44" s="11">
        <v>342</v>
      </c>
      <c r="E44" s="11">
        <v>346</v>
      </c>
      <c r="F44" s="11" t="s">
        <v>207</v>
      </c>
      <c r="G44" s="11" t="s">
        <v>63</v>
      </c>
      <c r="H44" s="14" t="s">
        <v>64</v>
      </c>
      <c r="I44" s="12">
        <v>283400120053</v>
      </c>
      <c r="J44" s="27">
        <v>3</v>
      </c>
      <c r="K44" s="14" t="s">
        <v>73</v>
      </c>
      <c r="L44" s="11" t="s">
        <v>17</v>
      </c>
      <c r="M44" s="11" t="s">
        <v>82</v>
      </c>
      <c r="N44" s="27">
        <v>3</v>
      </c>
      <c r="O44" s="31">
        <v>37.5</v>
      </c>
      <c r="P44" s="22">
        <f t="shared" si="0"/>
        <v>112.5</v>
      </c>
    </row>
    <row r="45" spans="2:16" x14ac:dyDescent="0.25">
      <c r="B45" s="13">
        <v>46164</v>
      </c>
      <c r="C45" s="11">
        <v>272</v>
      </c>
      <c r="D45" s="11">
        <v>342</v>
      </c>
      <c r="E45" s="11">
        <v>346</v>
      </c>
      <c r="F45" s="11" t="s">
        <v>207</v>
      </c>
      <c r="G45" s="11" t="s">
        <v>63</v>
      </c>
      <c r="H45" s="14" t="s">
        <v>64</v>
      </c>
      <c r="I45" s="12">
        <v>152700020022</v>
      </c>
      <c r="J45" s="27">
        <v>10</v>
      </c>
      <c r="K45" s="14" t="s">
        <v>76</v>
      </c>
      <c r="L45" s="11" t="s">
        <v>79</v>
      </c>
      <c r="M45" s="11" t="s">
        <v>85</v>
      </c>
      <c r="N45" s="27">
        <v>10</v>
      </c>
      <c r="O45" s="31">
        <v>3</v>
      </c>
      <c r="P45" s="22">
        <f t="shared" si="0"/>
        <v>30</v>
      </c>
    </row>
    <row r="46" spans="2:16" x14ac:dyDescent="0.25">
      <c r="B46" s="13">
        <v>46164</v>
      </c>
      <c r="C46" s="11">
        <v>272</v>
      </c>
      <c r="D46" s="11">
        <v>342</v>
      </c>
      <c r="E46" s="11">
        <v>346</v>
      </c>
      <c r="F46" s="11" t="s">
        <v>207</v>
      </c>
      <c r="G46" s="11" t="s">
        <v>63</v>
      </c>
      <c r="H46" s="14" t="s">
        <v>64</v>
      </c>
      <c r="I46" s="12">
        <v>152700020037</v>
      </c>
      <c r="J46" s="27">
        <v>10</v>
      </c>
      <c r="K46" s="14" t="s">
        <v>75</v>
      </c>
      <c r="L46" s="11" t="s">
        <v>79</v>
      </c>
      <c r="M46" s="11" t="s">
        <v>85</v>
      </c>
      <c r="N46" s="27">
        <v>10</v>
      </c>
      <c r="O46" s="31">
        <v>4.5</v>
      </c>
      <c r="P46" s="22">
        <f t="shared" si="0"/>
        <v>45</v>
      </c>
    </row>
    <row r="47" spans="2:16" x14ac:dyDescent="0.25">
      <c r="B47" s="13">
        <v>46164</v>
      </c>
      <c r="C47" s="11">
        <v>272</v>
      </c>
      <c r="D47" s="11">
        <v>342</v>
      </c>
      <c r="E47" s="11">
        <v>346</v>
      </c>
      <c r="F47" s="11" t="s">
        <v>207</v>
      </c>
      <c r="G47" s="11" t="s">
        <v>63</v>
      </c>
      <c r="H47" s="14" t="s">
        <v>64</v>
      </c>
      <c r="I47" s="12">
        <v>150900011271</v>
      </c>
      <c r="J47" s="27">
        <v>1</v>
      </c>
      <c r="K47" s="14" t="s">
        <v>77</v>
      </c>
      <c r="L47" s="11" t="s">
        <v>49</v>
      </c>
      <c r="M47" s="11" t="s">
        <v>86</v>
      </c>
      <c r="N47" s="27">
        <v>1</v>
      </c>
      <c r="O47" s="31">
        <v>54</v>
      </c>
      <c r="P47" s="22">
        <f t="shared" si="0"/>
        <v>54</v>
      </c>
    </row>
    <row r="48" spans="2:16" x14ac:dyDescent="0.25">
      <c r="B48" s="13">
        <v>46164</v>
      </c>
      <c r="C48" s="11">
        <v>272</v>
      </c>
      <c r="D48" s="11">
        <v>342</v>
      </c>
      <c r="E48" s="11">
        <v>346</v>
      </c>
      <c r="F48" s="11" t="s">
        <v>207</v>
      </c>
      <c r="G48" s="11" t="s">
        <v>63</v>
      </c>
      <c r="H48" s="14" t="s">
        <v>64</v>
      </c>
      <c r="I48" s="12">
        <v>150900010252</v>
      </c>
      <c r="J48" s="27">
        <v>10</v>
      </c>
      <c r="K48" s="14" t="s">
        <v>78</v>
      </c>
      <c r="L48" s="11" t="s">
        <v>79</v>
      </c>
      <c r="M48" s="11" t="s">
        <v>86</v>
      </c>
      <c r="N48" s="27">
        <v>10</v>
      </c>
      <c r="O48" s="31">
        <v>7.2</v>
      </c>
      <c r="P48" s="22">
        <f t="shared" si="0"/>
        <v>72</v>
      </c>
    </row>
    <row r="49" spans="2:16" x14ac:dyDescent="0.25">
      <c r="B49" s="13">
        <v>46164</v>
      </c>
      <c r="C49" s="14" t="s">
        <v>87</v>
      </c>
      <c r="D49" s="11">
        <v>339</v>
      </c>
      <c r="E49" s="11">
        <v>337</v>
      </c>
      <c r="F49" s="11"/>
      <c r="G49" s="11"/>
      <c r="H49" s="14" t="s">
        <v>33</v>
      </c>
      <c r="I49" s="12">
        <v>746419250002</v>
      </c>
      <c r="J49" s="27">
        <v>5</v>
      </c>
      <c r="K49" s="14" t="s">
        <v>88</v>
      </c>
      <c r="L49" s="11" t="s">
        <v>17</v>
      </c>
      <c r="M49" s="11" t="s">
        <v>31</v>
      </c>
      <c r="N49" s="27">
        <v>5</v>
      </c>
      <c r="O49" s="31">
        <v>240</v>
      </c>
      <c r="P49" s="22">
        <f t="shared" si="0"/>
        <v>1200</v>
      </c>
    </row>
    <row r="50" spans="2:16" x14ac:dyDescent="0.25">
      <c r="B50" s="13">
        <v>46164</v>
      </c>
      <c r="C50" s="14" t="s">
        <v>87</v>
      </c>
      <c r="D50" s="11">
        <v>339</v>
      </c>
      <c r="E50" s="11">
        <v>337</v>
      </c>
      <c r="F50" s="11"/>
      <c r="G50" s="11"/>
      <c r="H50" s="14" t="s">
        <v>33</v>
      </c>
      <c r="I50" s="12">
        <v>882221120001</v>
      </c>
      <c r="J50" s="27">
        <v>10</v>
      </c>
      <c r="K50" s="14" t="s">
        <v>89</v>
      </c>
      <c r="L50" s="11" t="s">
        <v>17</v>
      </c>
      <c r="M50" s="11" t="s">
        <v>95</v>
      </c>
      <c r="N50" s="27">
        <v>10</v>
      </c>
      <c r="O50" s="31">
        <v>150</v>
      </c>
      <c r="P50" s="22">
        <f t="shared" si="0"/>
        <v>1500</v>
      </c>
    </row>
    <row r="51" spans="2:16" x14ac:dyDescent="0.25">
      <c r="B51" s="13">
        <v>46164</v>
      </c>
      <c r="C51" s="14" t="s">
        <v>87</v>
      </c>
      <c r="D51" s="11">
        <v>339</v>
      </c>
      <c r="E51" s="11">
        <v>337</v>
      </c>
      <c r="F51" s="11"/>
      <c r="G51" s="11"/>
      <c r="H51" s="14" t="s">
        <v>33</v>
      </c>
      <c r="I51" s="12">
        <v>740826000001</v>
      </c>
      <c r="J51" s="27">
        <v>3</v>
      </c>
      <c r="K51" s="14" t="s">
        <v>90</v>
      </c>
      <c r="L51" s="11" t="s">
        <v>17</v>
      </c>
      <c r="M51" s="11" t="s">
        <v>96</v>
      </c>
      <c r="N51" s="27">
        <v>3</v>
      </c>
      <c r="O51" s="31">
        <v>1150</v>
      </c>
      <c r="P51" s="22">
        <f t="shared" si="0"/>
        <v>3450</v>
      </c>
    </row>
    <row r="52" spans="2:16" x14ac:dyDescent="0.25">
      <c r="B52" s="13">
        <v>46164</v>
      </c>
      <c r="C52" s="14" t="s">
        <v>87</v>
      </c>
      <c r="D52" s="11">
        <v>339</v>
      </c>
      <c r="E52" s="11">
        <v>337</v>
      </c>
      <c r="F52" s="11"/>
      <c r="G52" s="11"/>
      <c r="H52" s="14" t="s">
        <v>33</v>
      </c>
      <c r="I52" s="12">
        <v>462247850001</v>
      </c>
      <c r="J52" s="27">
        <v>4</v>
      </c>
      <c r="K52" s="14" t="s">
        <v>91</v>
      </c>
      <c r="L52" s="11" t="s">
        <v>17</v>
      </c>
      <c r="M52" s="11" t="s">
        <v>97</v>
      </c>
      <c r="N52" s="27">
        <v>4</v>
      </c>
      <c r="O52" s="31">
        <v>50</v>
      </c>
      <c r="P52" s="22">
        <f t="shared" si="0"/>
        <v>200</v>
      </c>
    </row>
    <row r="53" spans="2:16" x14ac:dyDescent="0.25">
      <c r="B53" s="13">
        <v>46164</v>
      </c>
      <c r="C53" s="14" t="s">
        <v>87</v>
      </c>
      <c r="D53" s="11">
        <v>339</v>
      </c>
      <c r="E53" s="11">
        <v>337</v>
      </c>
      <c r="F53" s="11"/>
      <c r="G53" s="11"/>
      <c r="H53" s="14" t="s">
        <v>33</v>
      </c>
      <c r="I53" s="12">
        <v>746451860001</v>
      </c>
      <c r="J53" s="27">
        <v>131</v>
      </c>
      <c r="K53" s="14" t="s">
        <v>92</v>
      </c>
      <c r="L53" s="11" t="s">
        <v>17</v>
      </c>
      <c r="M53" s="11" t="s">
        <v>31</v>
      </c>
      <c r="N53" s="27">
        <v>131</v>
      </c>
      <c r="O53" s="31">
        <v>135.30000000000001</v>
      </c>
      <c r="P53" s="22">
        <f t="shared" si="0"/>
        <v>17724.300000000003</v>
      </c>
    </row>
    <row r="54" spans="2:16" x14ac:dyDescent="0.25">
      <c r="B54" s="13">
        <v>46164</v>
      </c>
      <c r="C54" s="14" t="s">
        <v>87</v>
      </c>
      <c r="D54" s="11">
        <v>339</v>
      </c>
      <c r="E54" s="11">
        <v>337</v>
      </c>
      <c r="F54" s="11"/>
      <c r="G54" s="11"/>
      <c r="H54" s="14" t="s">
        <v>33</v>
      </c>
      <c r="I54" s="12">
        <v>746460980009</v>
      </c>
      <c r="J54" s="27">
        <v>5</v>
      </c>
      <c r="K54" s="14" t="s">
        <v>93</v>
      </c>
      <c r="L54" s="11" t="s">
        <v>17</v>
      </c>
      <c r="M54" s="11" t="s">
        <v>31</v>
      </c>
      <c r="N54" s="27">
        <v>5</v>
      </c>
      <c r="O54" s="31">
        <v>250</v>
      </c>
      <c r="P54" s="22">
        <f t="shared" si="0"/>
        <v>1250</v>
      </c>
    </row>
    <row r="55" spans="2:16" x14ac:dyDescent="0.25">
      <c r="B55" s="13">
        <v>46164</v>
      </c>
      <c r="C55" s="14" t="s">
        <v>87</v>
      </c>
      <c r="D55" s="11">
        <v>339</v>
      </c>
      <c r="E55" s="11">
        <v>337</v>
      </c>
      <c r="F55" s="11"/>
      <c r="G55" s="11"/>
      <c r="H55" s="14" t="s">
        <v>33</v>
      </c>
      <c r="I55" s="12">
        <v>746481870001</v>
      </c>
      <c r="J55" s="27">
        <v>72</v>
      </c>
      <c r="K55" s="14" t="s">
        <v>94</v>
      </c>
      <c r="L55" s="11" t="s">
        <v>17</v>
      </c>
      <c r="M55" s="11" t="s">
        <v>31</v>
      </c>
      <c r="N55" s="27">
        <v>72</v>
      </c>
      <c r="O55" s="31">
        <v>137.88</v>
      </c>
      <c r="P55" s="22">
        <f t="shared" si="0"/>
        <v>9927.36</v>
      </c>
    </row>
    <row r="56" spans="2:16" x14ac:dyDescent="0.25">
      <c r="B56" s="13">
        <v>46163</v>
      </c>
      <c r="C56" s="11">
        <v>258</v>
      </c>
      <c r="D56" s="11">
        <v>333</v>
      </c>
      <c r="E56" s="11">
        <v>334</v>
      </c>
      <c r="F56" s="11" t="s">
        <v>207</v>
      </c>
      <c r="G56" s="11" t="s">
        <v>205</v>
      </c>
      <c r="H56" s="14" t="s">
        <v>50</v>
      </c>
      <c r="I56" s="12">
        <v>767400063093</v>
      </c>
      <c r="J56" s="27">
        <v>2</v>
      </c>
      <c r="K56" s="14" t="s">
        <v>98</v>
      </c>
      <c r="L56" s="11" t="s">
        <v>17</v>
      </c>
      <c r="M56" s="11" t="s">
        <v>100</v>
      </c>
      <c r="N56" s="27">
        <v>2</v>
      </c>
      <c r="O56" s="31">
        <v>364.42</v>
      </c>
      <c r="P56" s="22">
        <f t="shared" si="0"/>
        <v>728.84</v>
      </c>
    </row>
    <row r="57" spans="2:16" x14ac:dyDescent="0.25">
      <c r="B57" s="13">
        <v>46163</v>
      </c>
      <c r="C57" s="11">
        <v>258</v>
      </c>
      <c r="D57" s="11">
        <v>333</v>
      </c>
      <c r="E57" s="11">
        <v>334</v>
      </c>
      <c r="F57" s="11" t="s">
        <v>207</v>
      </c>
      <c r="G57" s="11" t="s">
        <v>205</v>
      </c>
      <c r="H57" s="14" t="s">
        <v>50</v>
      </c>
      <c r="I57" s="12">
        <v>767400063094</v>
      </c>
      <c r="J57" s="27">
        <v>2</v>
      </c>
      <c r="K57" s="14" t="s">
        <v>99</v>
      </c>
      <c r="L57" s="11" t="s">
        <v>17</v>
      </c>
      <c r="M57" s="11" t="s">
        <v>100</v>
      </c>
      <c r="N57" s="27">
        <v>2</v>
      </c>
      <c r="O57" s="31">
        <v>470.88</v>
      </c>
      <c r="P57" s="22">
        <f t="shared" si="0"/>
        <v>941.76</v>
      </c>
    </row>
    <row r="58" spans="2:16" x14ac:dyDescent="0.25">
      <c r="B58" s="13">
        <v>46163</v>
      </c>
      <c r="C58" s="14" t="s">
        <v>101</v>
      </c>
      <c r="D58" s="11">
        <v>332</v>
      </c>
      <c r="E58" s="11">
        <v>333</v>
      </c>
      <c r="F58" s="11"/>
      <c r="G58" s="11"/>
      <c r="H58" s="14" t="s">
        <v>33</v>
      </c>
      <c r="I58" s="12">
        <v>746419250002</v>
      </c>
      <c r="J58" s="27">
        <v>12</v>
      </c>
      <c r="K58" s="14" t="s">
        <v>88</v>
      </c>
      <c r="L58" s="11" t="s">
        <v>17</v>
      </c>
      <c r="M58" s="11" t="s">
        <v>31</v>
      </c>
      <c r="N58" s="27">
        <v>12</v>
      </c>
      <c r="O58" s="31">
        <v>400</v>
      </c>
      <c r="P58" s="22">
        <f t="shared" si="0"/>
        <v>4800</v>
      </c>
    </row>
    <row r="59" spans="2:16" x14ac:dyDescent="0.25">
      <c r="B59" s="13">
        <v>46163</v>
      </c>
      <c r="C59" s="14" t="s">
        <v>101</v>
      </c>
      <c r="D59" s="11">
        <v>332</v>
      </c>
      <c r="E59" s="11">
        <v>333</v>
      </c>
      <c r="F59" s="11"/>
      <c r="G59" s="11"/>
      <c r="H59" s="14" t="s">
        <v>33</v>
      </c>
      <c r="I59" s="12">
        <v>462247850001</v>
      </c>
      <c r="J59" s="27">
        <v>2</v>
      </c>
      <c r="K59" s="14" t="s">
        <v>91</v>
      </c>
      <c r="L59" s="11" t="s">
        <v>17</v>
      </c>
      <c r="M59" s="11" t="s">
        <v>31</v>
      </c>
      <c r="N59" s="27">
        <v>2</v>
      </c>
      <c r="O59" s="31">
        <v>50</v>
      </c>
      <c r="P59" s="22">
        <f t="shared" si="0"/>
        <v>100</v>
      </c>
    </row>
    <row r="60" spans="2:16" x14ac:dyDescent="0.25">
      <c r="B60" s="13">
        <v>46163</v>
      </c>
      <c r="C60" s="14" t="s">
        <v>101</v>
      </c>
      <c r="D60" s="11">
        <v>332</v>
      </c>
      <c r="E60" s="11">
        <v>333</v>
      </c>
      <c r="F60" s="11"/>
      <c r="G60" s="11"/>
      <c r="H60" s="14" t="s">
        <v>33</v>
      </c>
      <c r="I60" s="12">
        <v>112248020001</v>
      </c>
      <c r="J60" s="27">
        <v>1</v>
      </c>
      <c r="K60" s="14" t="s">
        <v>102</v>
      </c>
      <c r="L60" s="11" t="s">
        <v>17</v>
      </c>
      <c r="M60" s="11" t="s">
        <v>31</v>
      </c>
      <c r="N60" s="27">
        <v>1</v>
      </c>
      <c r="O60" s="31">
        <v>250</v>
      </c>
      <c r="P60" s="22">
        <f t="shared" si="0"/>
        <v>250</v>
      </c>
    </row>
    <row r="61" spans="2:16" x14ac:dyDescent="0.25">
      <c r="B61" s="13">
        <v>46163</v>
      </c>
      <c r="C61" s="14" t="s">
        <v>101</v>
      </c>
      <c r="D61" s="11">
        <v>332</v>
      </c>
      <c r="E61" s="11">
        <v>333</v>
      </c>
      <c r="F61" s="11"/>
      <c r="G61" s="11"/>
      <c r="H61" s="14" t="s">
        <v>33</v>
      </c>
      <c r="I61" s="12">
        <v>746460980009</v>
      </c>
      <c r="J61" s="27">
        <v>12</v>
      </c>
      <c r="K61" s="14" t="s">
        <v>93</v>
      </c>
      <c r="L61" s="11" t="s">
        <v>17</v>
      </c>
      <c r="M61" s="11" t="s">
        <v>31</v>
      </c>
      <c r="N61" s="27">
        <v>12</v>
      </c>
      <c r="O61" s="31">
        <v>600</v>
      </c>
      <c r="P61" s="22">
        <f t="shared" si="0"/>
        <v>7200</v>
      </c>
    </row>
    <row r="62" spans="2:16" x14ac:dyDescent="0.25">
      <c r="B62" s="13">
        <v>46163</v>
      </c>
      <c r="C62" s="14" t="s">
        <v>101</v>
      </c>
      <c r="D62" s="11">
        <v>332</v>
      </c>
      <c r="E62" s="11">
        <v>333</v>
      </c>
      <c r="F62" s="11"/>
      <c r="G62" s="11"/>
      <c r="H62" s="14" t="s">
        <v>33</v>
      </c>
      <c r="I62" s="12">
        <v>746481870001</v>
      </c>
      <c r="J62" s="27">
        <v>2</v>
      </c>
      <c r="K62" s="14" t="s">
        <v>94</v>
      </c>
      <c r="L62" s="11" t="s">
        <v>17</v>
      </c>
      <c r="M62" s="11" t="s">
        <v>31</v>
      </c>
      <c r="N62" s="27">
        <v>2</v>
      </c>
      <c r="O62" s="31">
        <v>230</v>
      </c>
      <c r="P62" s="22">
        <f t="shared" si="0"/>
        <v>460</v>
      </c>
    </row>
    <row r="63" spans="2:16" x14ac:dyDescent="0.25">
      <c r="B63" s="13">
        <v>46162</v>
      </c>
      <c r="C63" s="11">
        <v>257</v>
      </c>
      <c r="D63" s="11">
        <v>325</v>
      </c>
      <c r="E63" s="11">
        <v>329</v>
      </c>
      <c r="F63" s="11" t="s">
        <v>207</v>
      </c>
      <c r="G63" s="11" t="s">
        <v>205</v>
      </c>
      <c r="H63" s="14" t="s">
        <v>50</v>
      </c>
      <c r="I63" s="12">
        <v>767400063095</v>
      </c>
      <c r="J63" s="27">
        <v>2</v>
      </c>
      <c r="K63" s="14" t="s">
        <v>103</v>
      </c>
      <c r="L63" s="11" t="s">
        <v>17</v>
      </c>
      <c r="M63" s="11" t="s">
        <v>100</v>
      </c>
      <c r="N63" s="27">
        <v>2</v>
      </c>
      <c r="O63" s="31">
        <v>470.68</v>
      </c>
      <c r="P63" s="22">
        <f t="shared" si="0"/>
        <v>941.36</v>
      </c>
    </row>
    <row r="64" spans="2:16" x14ac:dyDescent="0.25">
      <c r="B64" s="13">
        <v>46162</v>
      </c>
      <c r="C64" s="11">
        <v>257</v>
      </c>
      <c r="D64" s="11">
        <v>325</v>
      </c>
      <c r="E64" s="11">
        <v>329</v>
      </c>
      <c r="F64" s="11" t="s">
        <v>207</v>
      </c>
      <c r="G64" s="11" t="s">
        <v>205</v>
      </c>
      <c r="H64" s="14" t="s">
        <v>50</v>
      </c>
      <c r="I64" s="12">
        <v>767400063138</v>
      </c>
      <c r="J64" s="27">
        <v>2</v>
      </c>
      <c r="K64" s="14" t="s">
        <v>104</v>
      </c>
      <c r="L64" s="11" t="s">
        <v>17</v>
      </c>
      <c r="M64" s="11" t="s">
        <v>100</v>
      </c>
      <c r="N64" s="27">
        <v>2</v>
      </c>
      <c r="O64" s="31">
        <v>462.97500000000002</v>
      </c>
      <c r="P64" s="22">
        <f t="shared" si="0"/>
        <v>925.95</v>
      </c>
    </row>
    <row r="65" spans="2:16" x14ac:dyDescent="0.25">
      <c r="B65" s="13">
        <v>46162</v>
      </c>
      <c r="C65" s="11">
        <v>257</v>
      </c>
      <c r="D65" s="11">
        <v>325</v>
      </c>
      <c r="E65" s="11">
        <v>329</v>
      </c>
      <c r="F65" s="11" t="s">
        <v>207</v>
      </c>
      <c r="G65" s="11" t="s">
        <v>205</v>
      </c>
      <c r="H65" s="14" t="s">
        <v>50</v>
      </c>
      <c r="I65" s="12">
        <v>767400063822</v>
      </c>
      <c r="J65" s="27">
        <v>2</v>
      </c>
      <c r="K65" s="14" t="s">
        <v>105</v>
      </c>
      <c r="L65" s="11" t="s">
        <v>17</v>
      </c>
      <c r="M65" s="11" t="s">
        <v>106</v>
      </c>
      <c r="N65" s="27">
        <v>2</v>
      </c>
      <c r="O65" s="31">
        <v>407.57</v>
      </c>
      <c r="P65" s="22">
        <f t="shared" si="0"/>
        <v>815.14</v>
      </c>
    </row>
    <row r="66" spans="2:16" x14ac:dyDescent="0.25">
      <c r="B66" s="13">
        <v>46161</v>
      </c>
      <c r="C66" s="11">
        <v>260</v>
      </c>
      <c r="D66" s="11">
        <v>322</v>
      </c>
      <c r="E66" s="11">
        <v>323</v>
      </c>
      <c r="F66" s="11" t="s">
        <v>207</v>
      </c>
      <c r="G66" s="11" t="s">
        <v>205</v>
      </c>
      <c r="H66" s="14" t="s">
        <v>50</v>
      </c>
      <c r="I66" s="12">
        <v>767400063823</v>
      </c>
      <c r="J66" s="27">
        <v>2</v>
      </c>
      <c r="K66" s="14" t="s">
        <v>107</v>
      </c>
      <c r="L66" s="11" t="s">
        <v>17</v>
      </c>
      <c r="M66" s="11" t="s">
        <v>106</v>
      </c>
      <c r="N66" s="27">
        <v>2</v>
      </c>
      <c r="O66" s="31">
        <v>552.77</v>
      </c>
      <c r="P66" s="22">
        <f t="shared" si="0"/>
        <v>1105.54</v>
      </c>
    </row>
    <row r="67" spans="2:16" x14ac:dyDescent="0.25">
      <c r="B67" s="13">
        <v>46161</v>
      </c>
      <c r="C67" s="11">
        <v>260</v>
      </c>
      <c r="D67" s="11">
        <v>322</v>
      </c>
      <c r="E67" s="11">
        <v>323</v>
      </c>
      <c r="F67" s="11" t="s">
        <v>207</v>
      </c>
      <c r="G67" s="11" t="s">
        <v>205</v>
      </c>
      <c r="H67" s="14" t="s">
        <v>50</v>
      </c>
      <c r="I67" s="12">
        <v>767400063824</v>
      </c>
      <c r="J67" s="27">
        <v>2</v>
      </c>
      <c r="K67" s="14" t="s">
        <v>108</v>
      </c>
      <c r="L67" s="11" t="s">
        <v>17</v>
      </c>
      <c r="M67" s="11" t="s">
        <v>106</v>
      </c>
      <c r="N67" s="27">
        <v>2</v>
      </c>
      <c r="O67" s="31">
        <v>552.77</v>
      </c>
      <c r="P67" s="22">
        <f>N67*O67</f>
        <v>1105.54</v>
      </c>
    </row>
    <row r="68" spans="2:16" x14ac:dyDescent="0.25">
      <c r="B68" s="13">
        <v>46161</v>
      </c>
      <c r="C68" s="11">
        <v>260</v>
      </c>
      <c r="D68" s="11">
        <v>322</v>
      </c>
      <c r="E68" s="11">
        <v>323</v>
      </c>
      <c r="F68" s="11" t="s">
        <v>207</v>
      </c>
      <c r="G68" s="11" t="s">
        <v>205</v>
      </c>
      <c r="H68" s="14" t="s">
        <v>50</v>
      </c>
      <c r="I68" s="12">
        <v>767400063825</v>
      </c>
      <c r="J68" s="27">
        <v>2</v>
      </c>
      <c r="K68" s="14" t="s">
        <v>109</v>
      </c>
      <c r="L68" s="11" t="s">
        <v>17</v>
      </c>
      <c r="M68" s="11" t="s">
        <v>106</v>
      </c>
      <c r="N68" s="27">
        <v>2</v>
      </c>
      <c r="O68" s="31">
        <v>552.77</v>
      </c>
      <c r="P68" s="22">
        <f t="shared" ref="P68:P76" si="1">N68*O68</f>
        <v>1105.54</v>
      </c>
    </row>
    <row r="69" spans="2:16" x14ac:dyDescent="0.25">
      <c r="B69" s="13">
        <v>46160</v>
      </c>
      <c r="C69" s="11">
        <v>273</v>
      </c>
      <c r="D69" s="11">
        <v>313</v>
      </c>
      <c r="E69" s="11">
        <v>311</v>
      </c>
      <c r="F69" s="11" t="s">
        <v>207</v>
      </c>
      <c r="G69" s="11" t="s">
        <v>63</v>
      </c>
      <c r="H69" s="14" t="s">
        <v>64</v>
      </c>
      <c r="I69" s="12">
        <v>767500010303</v>
      </c>
      <c r="J69" s="27">
        <v>2</v>
      </c>
      <c r="K69" s="14" t="s">
        <v>111</v>
      </c>
      <c r="L69" s="11" t="s">
        <v>17</v>
      </c>
      <c r="M69" s="11" t="s">
        <v>110</v>
      </c>
      <c r="N69" s="27">
        <v>2</v>
      </c>
      <c r="O69" s="31">
        <v>98.2</v>
      </c>
      <c r="P69" s="22">
        <f t="shared" si="1"/>
        <v>196.4</v>
      </c>
    </row>
    <row r="70" spans="2:16" x14ac:dyDescent="0.25">
      <c r="B70" s="13">
        <v>46160</v>
      </c>
      <c r="C70" s="11">
        <v>259</v>
      </c>
      <c r="D70" s="11">
        <v>311</v>
      </c>
      <c r="E70" s="11">
        <v>312</v>
      </c>
      <c r="F70" s="11" t="s">
        <v>207</v>
      </c>
      <c r="G70" s="11" t="s">
        <v>202</v>
      </c>
      <c r="H70" s="14" t="s">
        <v>50</v>
      </c>
      <c r="I70" s="12">
        <v>767400063889</v>
      </c>
      <c r="J70" s="27">
        <v>4</v>
      </c>
      <c r="K70" s="14" t="s">
        <v>112</v>
      </c>
      <c r="L70" s="11" t="s">
        <v>17</v>
      </c>
      <c r="M70" s="11" t="s">
        <v>113</v>
      </c>
      <c r="N70" s="27">
        <v>4</v>
      </c>
      <c r="O70" s="31">
        <v>855.77250000000004</v>
      </c>
      <c r="P70" s="22">
        <f t="shared" si="1"/>
        <v>3423.09</v>
      </c>
    </row>
    <row r="71" spans="2:16" x14ac:dyDescent="0.25">
      <c r="B71" s="13">
        <v>46157</v>
      </c>
      <c r="C71" s="11">
        <v>256</v>
      </c>
      <c r="D71" s="11">
        <v>306</v>
      </c>
      <c r="E71" s="11">
        <v>310</v>
      </c>
      <c r="F71" s="11" t="s">
        <v>207</v>
      </c>
      <c r="G71" s="11" t="s">
        <v>202</v>
      </c>
      <c r="H71" s="14" t="s">
        <v>50</v>
      </c>
      <c r="I71" s="12">
        <v>767400063804</v>
      </c>
      <c r="J71" s="27">
        <v>9</v>
      </c>
      <c r="K71" s="14" t="s">
        <v>115</v>
      </c>
      <c r="L71" s="11" t="s">
        <v>17</v>
      </c>
      <c r="M71" s="11" t="s">
        <v>114</v>
      </c>
      <c r="N71" s="27">
        <v>9</v>
      </c>
      <c r="O71" s="31">
        <v>381.77666699999997</v>
      </c>
      <c r="P71" s="22">
        <f t="shared" si="1"/>
        <v>3435.9900029999999</v>
      </c>
    </row>
    <row r="72" spans="2:16" x14ac:dyDescent="0.25">
      <c r="B72" s="13">
        <v>46157</v>
      </c>
      <c r="C72" s="11">
        <v>256</v>
      </c>
      <c r="D72" s="11">
        <v>306</v>
      </c>
      <c r="E72" s="11">
        <v>310</v>
      </c>
      <c r="F72" s="11" t="s">
        <v>207</v>
      </c>
      <c r="G72" s="11" t="s">
        <v>202</v>
      </c>
      <c r="H72" s="14" t="s">
        <v>50</v>
      </c>
      <c r="I72" s="12">
        <v>767400063803</v>
      </c>
      <c r="J72" s="27">
        <v>9</v>
      </c>
      <c r="K72" s="14" t="s">
        <v>116</v>
      </c>
      <c r="L72" s="11" t="s">
        <v>17</v>
      </c>
      <c r="M72" s="11" t="s">
        <v>114</v>
      </c>
      <c r="N72" s="27">
        <v>9</v>
      </c>
      <c r="O72" s="31">
        <v>667.70333300000004</v>
      </c>
      <c r="P72" s="22">
        <f t="shared" si="1"/>
        <v>6009.3299970000007</v>
      </c>
    </row>
    <row r="73" spans="2:16" x14ac:dyDescent="0.25">
      <c r="B73" s="13">
        <v>46157</v>
      </c>
      <c r="C73" s="11">
        <v>256</v>
      </c>
      <c r="D73" s="11">
        <v>306</v>
      </c>
      <c r="E73" s="11">
        <v>310</v>
      </c>
      <c r="F73" s="11" t="s">
        <v>207</v>
      </c>
      <c r="G73" s="11" t="s">
        <v>202</v>
      </c>
      <c r="H73" s="14" t="s">
        <v>50</v>
      </c>
      <c r="I73" s="12">
        <v>767400063802</v>
      </c>
      <c r="J73" s="27">
        <v>9</v>
      </c>
      <c r="K73" s="14" t="s">
        <v>117</v>
      </c>
      <c r="L73" s="11" t="s">
        <v>17</v>
      </c>
      <c r="M73" s="11" t="s">
        <v>114</v>
      </c>
      <c r="N73" s="27">
        <v>9</v>
      </c>
      <c r="O73" s="31">
        <v>667.70333300000004</v>
      </c>
      <c r="P73" s="22">
        <f t="shared" si="1"/>
        <v>6009.3299970000007</v>
      </c>
    </row>
    <row r="74" spans="2:16" x14ac:dyDescent="0.25">
      <c r="B74" s="13">
        <v>46157</v>
      </c>
      <c r="C74" s="11">
        <v>256</v>
      </c>
      <c r="D74" s="11">
        <v>306</v>
      </c>
      <c r="E74" s="11">
        <v>310</v>
      </c>
      <c r="F74" s="11" t="s">
        <v>207</v>
      </c>
      <c r="G74" s="11" t="s">
        <v>202</v>
      </c>
      <c r="H74" s="14" t="s">
        <v>50</v>
      </c>
      <c r="I74" s="12">
        <v>767400063801</v>
      </c>
      <c r="J74" s="27">
        <v>9</v>
      </c>
      <c r="K74" s="14" t="s">
        <v>118</v>
      </c>
      <c r="L74" s="11" t="s">
        <v>17</v>
      </c>
      <c r="M74" s="11" t="s">
        <v>114</v>
      </c>
      <c r="N74" s="27">
        <v>9</v>
      </c>
      <c r="O74" s="31">
        <v>667.70333300000004</v>
      </c>
      <c r="P74" s="22">
        <f t="shared" si="1"/>
        <v>6009.3299970000007</v>
      </c>
    </row>
    <row r="75" spans="2:16" x14ac:dyDescent="0.25">
      <c r="B75" s="13">
        <v>46155</v>
      </c>
      <c r="C75" s="11">
        <v>240</v>
      </c>
      <c r="D75" s="11">
        <v>291</v>
      </c>
      <c r="E75" s="11">
        <v>293</v>
      </c>
      <c r="F75" s="11" t="s">
        <v>207</v>
      </c>
      <c r="G75" s="11" t="s">
        <v>205</v>
      </c>
      <c r="H75" s="14" t="s">
        <v>50</v>
      </c>
      <c r="I75" s="12">
        <v>717200050224</v>
      </c>
      <c r="J75" s="27">
        <v>200</v>
      </c>
      <c r="K75" s="14" t="s">
        <v>119</v>
      </c>
      <c r="L75" s="11" t="s">
        <v>121</v>
      </c>
      <c r="M75" s="11" t="s">
        <v>31</v>
      </c>
      <c r="N75" s="27">
        <v>200</v>
      </c>
      <c r="O75" s="31">
        <v>10.797003</v>
      </c>
      <c r="P75" s="22">
        <f t="shared" si="1"/>
        <v>2159.4005999999999</v>
      </c>
    </row>
    <row r="76" spans="2:16" x14ac:dyDescent="0.25">
      <c r="B76" s="13">
        <v>46155</v>
      </c>
      <c r="C76" s="11">
        <v>240</v>
      </c>
      <c r="D76" s="11">
        <v>291</v>
      </c>
      <c r="E76" s="11">
        <v>293</v>
      </c>
      <c r="F76" s="11" t="s">
        <v>207</v>
      </c>
      <c r="G76" s="11" t="s">
        <v>206</v>
      </c>
      <c r="H76" s="14" t="s">
        <v>50</v>
      </c>
      <c r="I76" s="12">
        <v>717200050225</v>
      </c>
      <c r="J76" s="27">
        <v>6</v>
      </c>
      <c r="K76" s="14" t="s">
        <v>120</v>
      </c>
      <c r="L76" s="11" t="s">
        <v>122</v>
      </c>
      <c r="M76" s="11" t="s">
        <v>31</v>
      </c>
      <c r="N76" s="27">
        <v>21</v>
      </c>
      <c r="O76" s="31">
        <v>38.4208</v>
      </c>
      <c r="P76" s="22">
        <f t="shared" si="1"/>
        <v>806.83680000000004</v>
      </c>
    </row>
    <row r="77" spans="2:16" x14ac:dyDescent="0.25">
      <c r="B77" s="13">
        <v>46149</v>
      </c>
      <c r="C77" s="11">
        <v>211</v>
      </c>
      <c r="D77" s="11">
        <v>267</v>
      </c>
      <c r="E77" s="11">
        <v>270</v>
      </c>
      <c r="F77" s="11" t="s">
        <v>209</v>
      </c>
      <c r="G77" s="11" t="s">
        <v>63</v>
      </c>
      <c r="H77" s="14" t="s">
        <v>123</v>
      </c>
      <c r="I77" s="12">
        <v>715000220038</v>
      </c>
      <c r="J77" s="27">
        <v>50</v>
      </c>
      <c r="K77" s="14" t="s">
        <v>124</v>
      </c>
      <c r="L77" s="11" t="s">
        <v>17</v>
      </c>
      <c r="M77" s="11" t="s">
        <v>31</v>
      </c>
      <c r="N77" s="27">
        <v>50</v>
      </c>
      <c r="O77" s="31">
        <v>2.714</v>
      </c>
      <c r="P77" s="22">
        <f>N77*O77</f>
        <v>135.69999999999999</v>
      </c>
    </row>
    <row r="78" spans="2:16" x14ac:dyDescent="0.25">
      <c r="B78" s="13">
        <v>46149</v>
      </c>
      <c r="C78" s="11">
        <v>206</v>
      </c>
      <c r="D78" s="11">
        <v>266</v>
      </c>
      <c r="E78" s="11">
        <v>269</v>
      </c>
      <c r="F78" s="11" t="s">
        <v>209</v>
      </c>
      <c r="G78" s="11" t="s">
        <v>63</v>
      </c>
      <c r="H78" s="14" t="s">
        <v>123</v>
      </c>
      <c r="I78" s="12">
        <v>710300010048</v>
      </c>
      <c r="J78" s="27">
        <v>100</v>
      </c>
      <c r="K78" s="14" t="s">
        <v>125</v>
      </c>
      <c r="L78" s="11" t="s">
        <v>17</v>
      </c>
      <c r="M78" s="11" t="s">
        <v>31</v>
      </c>
      <c r="N78" s="27">
        <v>100</v>
      </c>
      <c r="O78" s="31">
        <v>1.7110000000000001</v>
      </c>
      <c r="P78" s="22">
        <f t="shared" ref="P78:P148" si="2">N78*O78</f>
        <v>171.1</v>
      </c>
    </row>
    <row r="79" spans="2:16" x14ac:dyDescent="0.25">
      <c r="B79" s="13">
        <v>46149</v>
      </c>
      <c r="C79" s="11">
        <v>209</v>
      </c>
      <c r="D79" s="11">
        <v>265</v>
      </c>
      <c r="E79" s="11">
        <v>268</v>
      </c>
      <c r="F79" s="11" t="s">
        <v>209</v>
      </c>
      <c r="G79" s="11" t="s">
        <v>63</v>
      </c>
      <c r="H79" s="14" t="s">
        <v>123</v>
      </c>
      <c r="I79" s="12">
        <v>718500080026</v>
      </c>
      <c r="J79" s="27">
        <v>90</v>
      </c>
      <c r="K79" s="14" t="s">
        <v>126</v>
      </c>
      <c r="L79" s="11" t="s">
        <v>127</v>
      </c>
      <c r="M79" s="11" t="s">
        <v>31</v>
      </c>
      <c r="N79" s="27">
        <v>90</v>
      </c>
      <c r="O79" s="31">
        <v>2.0413999999999999</v>
      </c>
      <c r="P79" s="22">
        <f t="shared" si="2"/>
        <v>183.726</v>
      </c>
    </row>
    <row r="80" spans="2:16" x14ac:dyDescent="0.25">
      <c r="B80" s="13">
        <v>46149</v>
      </c>
      <c r="C80" s="11">
        <v>207</v>
      </c>
      <c r="D80" s="11">
        <v>264</v>
      </c>
      <c r="E80" s="11">
        <v>267</v>
      </c>
      <c r="F80" s="11" t="s">
        <v>209</v>
      </c>
      <c r="G80" s="11" t="s">
        <v>63</v>
      </c>
      <c r="H80" s="14" t="s">
        <v>123</v>
      </c>
      <c r="I80" s="12">
        <v>716000010208</v>
      </c>
      <c r="J80" s="27">
        <v>300</v>
      </c>
      <c r="K80" s="14" t="s">
        <v>26</v>
      </c>
      <c r="L80" s="11" t="s">
        <v>17</v>
      </c>
      <c r="M80" s="11" t="s">
        <v>31</v>
      </c>
      <c r="N80" s="27">
        <v>300</v>
      </c>
      <c r="O80" s="31">
        <v>0.82599999999999996</v>
      </c>
      <c r="P80" s="22">
        <f t="shared" si="2"/>
        <v>247.79999999999998</v>
      </c>
    </row>
    <row r="81" spans="2:16" x14ac:dyDescent="0.25">
      <c r="B81" s="13">
        <v>46148</v>
      </c>
      <c r="C81" s="11">
        <v>215</v>
      </c>
      <c r="D81" s="11">
        <v>262</v>
      </c>
      <c r="E81" s="11">
        <v>265</v>
      </c>
      <c r="F81" s="11" t="s">
        <v>209</v>
      </c>
      <c r="G81" s="11" t="s">
        <v>63</v>
      </c>
      <c r="H81" s="14" t="s">
        <v>123</v>
      </c>
      <c r="I81" s="12">
        <v>715000190014</v>
      </c>
      <c r="J81" s="27">
        <v>60</v>
      </c>
      <c r="K81" s="14" t="s">
        <v>128</v>
      </c>
      <c r="L81" s="11" t="s">
        <v>17</v>
      </c>
      <c r="M81" s="11" t="s">
        <v>31</v>
      </c>
      <c r="N81" s="27">
        <v>60</v>
      </c>
      <c r="O81" s="31">
        <v>2.242</v>
      </c>
      <c r="P81" s="22">
        <f t="shared" si="2"/>
        <v>134.52000000000001</v>
      </c>
    </row>
    <row r="82" spans="2:16" x14ac:dyDescent="0.25">
      <c r="B82" s="13">
        <v>46148</v>
      </c>
      <c r="C82" s="11">
        <v>213</v>
      </c>
      <c r="D82" s="11">
        <v>261</v>
      </c>
      <c r="E82" s="11">
        <v>264</v>
      </c>
      <c r="F82" s="11" t="s">
        <v>209</v>
      </c>
      <c r="G82" s="11" t="s">
        <v>63</v>
      </c>
      <c r="H82" s="14" t="s">
        <v>123</v>
      </c>
      <c r="I82" s="12">
        <v>503300250045</v>
      </c>
      <c r="J82" s="27">
        <v>100</v>
      </c>
      <c r="K82" s="14" t="s">
        <v>129</v>
      </c>
      <c r="L82" s="11" t="s">
        <v>17</v>
      </c>
      <c r="M82" s="11" t="s">
        <v>31</v>
      </c>
      <c r="N82" s="27">
        <v>100</v>
      </c>
      <c r="O82" s="31">
        <v>3.1387999999999998</v>
      </c>
      <c r="P82" s="22">
        <f t="shared" si="2"/>
        <v>313.88</v>
      </c>
    </row>
    <row r="83" spans="2:16" x14ac:dyDescent="0.25">
      <c r="B83" s="13">
        <v>46148</v>
      </c>
      <c r="C83" s="11">
        <v>210</v>
      </c>
      <c r="D83" s="11">
        <v>260</v>
      </c>
      <c r="E83" s="11">
        <v>263</v>
      </c>
      <c r="F83" s="11" t="s">
        <v>209</v>
      </c>
      <c r="G83" s="11" t="s">
        <v>63</v>
      </c>
      <c r="H83" s="14" t="s">
        <v>123</v>
      </c>
      <c r="I83" s="12">
        <v>710300120209</v>
      </c>
      <c r="J83" s="27">
        <v>60</v>
      </c>
      <c r="K83" s="14" t="s">
        <v>130</v>
      </c>
      <c r="L83" s="11" t="s">
        <v>17</v>
      </c>
      <c r="M83" s="11" t="s">
        <v>31</v>
      </c>
      <c r="N83" s="27">
        <v>60</v>
      </c>
      <c r="O83" s="31">
        <v>5.9589999999999996</v>
      </c>
      <c r="P83" s="22">
        <f t="shared" si="2"/>
        <v>357.53999999999996</v>
      </c>
    </row>
    <row r="84" spans="2:16" x14ac:dyDescent="0.25">
      <c r="B84" s="13">
        <v>46147</v>
      </c>
      <c r="C84" s="11">
        <v>218</v>
      </c>
      <c r="D84" s="11">
        <v>257</v>
      </c>
      <c r="E84" s="11">
        <v>260</v>
      </c>
      <c r="F84" s="11" t="s">
        <v>209</v>
      </c>
      <c r="G84" s="11" t="s">
        <v>63</v>
      </c>
      <c r="H84" s="14" t="s">
        <v>123</v>
      </c>
      <c r="I84" s="12">
        <v>504200010002</v>
      </c>
      <c r="J84" s="27">
        <v>6</v>
      </c>
      <c r="K84" s="14" t="s">
        <v>131</v>
      </c>
      <c r="L84" s="11" t="s">
        <v>17</v>
      </c>
      <c r="M84" s="11" t="s">
        <v>31</v>
      </c>
      <c r="N84" s="27">
        <v>6</v>
      </c>
      <c r="O84" s="31">
        <v>27.14</v>
      </c>
      <c r="P84" s="22">
        <f t="shared" si="2"/>
        <v>162.84</v>
      </c>
    </row>
    <row r="85" spans="2:16" x14ac:dyDescent="0.25">
      <c r="B85" s="13">
        <v>46147</v>
      </c>
      <c r="C85" s="11">
        <v>216</v>
      </c>
      <c r="D85" s="11">
        <v>256</v>
      </c>
      <c r="E85" s="11">
        <v>259</v>
      </c>
      <c r="F85" s="11" t="s">
        <v>209</v>
      </c>
      <c r="G85" s="11" t="s">
        <v>63</v>
      </c>
      <c r="H85" s="14" t="s">
        <v>123</v>
      </c>
      <c r="I85" s="12">
        <v>716000060397</v>
      </c>
      <c r="J85" s="27">
        <v>20</v>
      </c>
      <c r="K85" s="14" t="s">
        <v>132</v>
      </c>
      <c r="L85" s="11" t="s">
        <v>17</v>
      </c>
      <c r="M85" s="11" t="s">
        <v>31</v>
      </c>
      <c r="N85" s="27">
        <v>20</v>
      </c>
      <c r="O85" s="31">
        <v>1.8879999999999999</v>
      </c>
      <c r="P85" s="22">
        <f t="shared" si="2"/>
        <v>37.76</v>
      </c>
    </row>
    <row r="86" spans="2:16" x14ac:dyDescent="0.25">
      <c r="B86" s="13">
        <v>46147</v>
      </c>
      <c r="C86" s="11">
        <v>212</v>
      </c>
      <c r="D86" s="11">
        <v>255</v>
      </c>
      <c r="E86" s="11">
        <v>258</v>
      </c>
      <c r="F86" s="11" t="s">
        <v>209</v>
      </c>
      <c r="G86" s="11" t="s">
        <v>63</v>
      </c>
      <c r="H86" s="14" t="s">
        <v>123</v>
      </c>
      <c r="I86" s="12">
        <v>716000060410</v>
      </c>
      <c r="J86" s="27">
        <v>20</v>
      </c>
      <c r="K86" s="14" t="s">
        <v>133</v>
      </c>
      <c r="L86" s="11" t="s">
        <v>17</v>
      </c>
      <c r="M86" s="11" t="s">
        <v>31</v>
      </c>
      <c r="N86" s="27">
        <v>20</v>
      </c>
      <c r="O86" s="31">
        <v>2.1240000000000001</v>
      </c>
      <c r="P86" s="22">
        <f t="shared" si="2"/>
        <v>42.480000000000004</v>
      </c>
    </row>
    <row r="87" spans="2:16" x14ac:dyDescent="0.25">
      <c r="B87" s="13">
        <v>46146</v>
      </c>
      <c r="C87" s="11">
        <v>214</v>
      </c>
      <c r="D87" s="11">
        <v>241</v>
      </c>
      <c r="E87" s="11">
        <v>244</v>
      </c>
      <c r="F87" s="11" t="s">
        <v>209</v>
      </c>
      <c r="G87" s="11" t="s">
        <v>63</v>
      </c>
      <c r="H87" s="14" t="s">
        <v>123</v>
      </c>
      <c r="I87" s="12">
        <v>716000060443</v>
      </c>
      <c r="J87" s="27">
        <v>50</v>
      </c>
      <c r="K87" s="14" t="s">
        <v>44</v>
      </c>
      <c r="L87" s="11" t="s">
        <v>17</v>
      </c>
      <c r="M87" s="11" t="s">
        <v>31</v>
      </c>
      <c r="N87" s="27">
        <v>50</v>
      </c>
      <c r="O87" s="31">
        <v>1.357</v>
      </c>
      <c r="P87" s="22">
        <f t="shared" si="2"/>
        <v>67.849999999999994</v>
      </c>
    </row>
    <row r="88" spans="2:16" x14ac:dyDescent="0.25">
      <c r="B88" s="13">
        <v>46146</v>
      </c>
      <c r="C88" s="11">
        <v>208</v>
      </c>
      <c r="D88" s="11">
        <v>240</v>
      </c>
      <c r="E88" s="11">
        <v>243</v>
      </c>
      <c r="F88" s="11" t="s">
        <v>209</v>
      </c>
      <c r="G88" s="11" t="s">
        <v>63</v>
      </c>
      <c r="H88" s="14" t="s">
        <v>123</v>
      </c>
      <c r="I88" s="12">
        <v>715000300021</v>
      </c>
      <c r="J88" s="27">
        <v>20</v>
      </c>
      <c r="K88" s="14" t="s">
        <v>134</v>
      </c>
      <c r="L88" s="11" t="s">
        <v>17</v>
      </c>
      <c r="M88" s="11" t="s">
        <v>31</v>
      </c>
      <c r="N88" s="27">
        <v>20</v>
      </c>
      <c r="O88" s="31">
        <v>17.582000000000001</v>
      </c>
      <c r="P88" s="22">
        <f t="shared" si="2"/>
        <v>351.64</v>
      </c>
    </row>
    <row r="89" spans="2:16" x14ac:dyDescent="0.25">
      <c r="B89" s="13">
        <v>46146</v>
      </c>
      <c r="C89" s="11">
        <v>205</v>
      </c>
      <c r="D89" s="11">
        <v>239</v>
      </c>
      <c r="E89" s="11">
        <v>242</v>
      </c>
      <c r="F89" s="11" t="s">
        <v>209</v>
      </c>
      <c r="G89" s="11" t="s">
        <v>63</v>
      </c>
      <c r="H89" s="14" t="s">
        <v>123</v>
      </c>
      <c r="I89" s="12">
        <v>711100010036</v>
      </c>
      <c r="J89" s="27">
        <v>60</v>
      </c>
      <c r="K89" s="14" t="s">
        <v>135</v>
      </c>
      <c r="L89" s="11" t="s">
        <v>17</v>
      </c>
      <c r="M89" s="11" t="s">
        <v>31</v>
      </c>
      <c r="N89" s="27">
        <v>60</v>
      </c>
      <c r="O89" s="31">
        <v>0.63717000000000001</v>
      </c>
      <c r="P89" s="22">
        <f t="shared" si="2"/>
        <v>38.230200000000004</v>
      </c>
    </row>
    <row r="90" spans="2:16" x14ac:dyDescent="0.25">
      <c r="B90" s="13">
        <v>46139</v>
      </c>
      <c r="C90" s="11">
        <v>175</v>
      </c>
      <c r="D90" s="11">
        <v>195</v>
      </c>
      <c r="E90" s="11">
        <v>198</v>
      </c>
      <c r="F90" s="11" t="s">
        <v>209</v>
      </c>
      <c r="G90" s="11" t="s">
        <v>202</v>
      </c>
      <c r="H90" s="14" t="s">
        <v>136</v>
      </c>
      <c r="I90" s="12">
        <v>767400063802</v>
      </c>
      <c r="J90" s="27">
        <v>9</v>
      </c>
      <c r="K90" s="14" t="s">
        <v>117</v>
      </c>
      <c r="L90" s="11" t="s">
        <v>17</v>
      </c>
      <c r="M90" s="11" t="s">
        <v>31</v>
      </c>
      <c r="N90" s="27">
        <v>9</v>
      </c>
      <c r="O90" s="31">
        <v>639.08777799999996</v>
      </c>
      <c r="P90" s="22">
        <f t="shared" si="2"/>
        <v>5751.7900019999997</v>
      </c>
    </row>
    <row r="91" spans="2:16" x14ac:dyDescent="0.25">
      <c r="B91" s="13">
        <v>46139</v>
      </c>
      <c r="C91" s="11">
        <v>173</v>
      </c>
      <c r="D91" s="11">
        <v>194</v>
      </c>
      <c r="E91" s="11">
        <v>197</v>
      </c>
      <c r="F91" s="11" t="s">
        <v>209</v>
      </c>
      <c r="G91" s="11" t="s">
        <v>202</v>
      </c>
      <c r="H91" s="14" t="s">
        <v>136</v>
      </c>
      <c r="I91" s="12">
        <v>767400063804</v>
      </c>
      <c r="J91" s="27">
        <v>9</v>
      </c>
      <c r="K91" s="14" t="s">
        <v>115</v>
      </c>
      <c r="L91" s="11" t="s">
        <v>17</v>
      </c>
      <c r="M91" s="11" t="s">
        <v>31</v>
      </c>
      <c r="N91" s="27">
        <v>9</v>
      </c>
      <c r="O91" s="31">
        <v>379.46444400000001</v>
      </c>
      <c r="P91" s="22">
        <f t="shared" si="2"/>
        <v>3415.1799960000003</v>
      </c>
    </row>
    <row r="92" spans="2:16" x14ac:dyDescent="0.25">
      <c r="B92" s="13">
        <v>46139</v>
      </c>
      <c r="C92" s="11">
        <v>172</v>
      </c>
      <c r="D92" s="11">
        <v>193</v>
      </c>
      <c r="E92" s="11">
        <v>196</v>
      </c>
      <c r="F92" s="11" t="s">
        <v>209</v>
      </c>
      <c r="G92" s="11" t="s">
        <v>202</v>
      </c>
      <c r="H92" s="14" t="s">
        <v>136</v>
      </c>
      <c r="I92" s="12">
        <v>767400063801</v>
      </c>
      <c r="J92" s="27">
        <v>9</v>
      </c>
      <c r="K92" s="14" t="s">
        <v>118</v>
      </c>
      <c r="L92" s="11" t="s">
        <v>17</v>
      </c>
      <c r="M92" s="11" t="s">
        <v>31</v>
      </c>
      <c r="N92" s="27">
        <v>9</v>
      </c>
      <c r="O92" s="31">
        <v>639.08777799999996</v>
      </c>
      <c r="P92" s="22">
        <f t="shared" si="2"/>
        <v>5751.7900019999997</v>
      </c>
    </row>
    <row r="93" spans="2:16" x14ac:dyDescent="0.25">
      <c r="B93" s="13">
        <v>46139</v>
      </c>
      <c r="C93" s="11">
        <v>171</v>
      </c>
      <c r="D93" s="11">
        <v>192</v>
      </c>
      <c r="E93" s="11">
        <v>195</v>
      </c>
      <c r="F93" s="11" t="s">
        <v>209</v>
      </c>
      <c r="G93" s="11" t="s">
        <v>202</v>
      </c>
      <c r="H93" s="14" t="s">
        <v>136</v>
      </c>
      <c r="I93" s="12">
        <v>767400063803</v>
      </c>
      <c r="J93" s="27">
        <v>9</v>
      </c>
      <c r="K93" s="14" t="s">
        <v>116</v>
      </c>
      <c r="L93" s="11" t="s">
        <v>17</v>
      </c>
      <c r="M93" s="11" t="s">
        <v>31</v>
      </c>
      <c r="N93" s="27">
        <v>9</v>
      </c>
      <c r="O93" s="31">
        <v>639.08777799999996</v>
      </c>
      <c r="P93" s="23">
        <f t="shared" si="2"/>
        <v>5751.7900019999997</v>
      </c>
    </row>
    <row r="94" spans="2:16" x14ac:dyDescent="0.25">
      <c r="B94" s="13">
        <v>46139</v>
      </c>
      <c r="C94" s="11">
        <v>177</v>
      </c>
      <c r="D94" s="11">
        <v>190</v>
      </c>
      <c r="E94" s="11">
        <v>193</v>
      </c>
      <c r="F94" s="11" t="s">
        <v>209</v>
      </c>
      <c r="G94" s="11" t="s">
        <v>202</v>
      </c>
      <c r="H94" s="14" t="s">
        <v>136</v>
      </c>
      <c r="I94" s="12">
        <v>767400063889</v>
      </c>
      <c r="J94" s="27">
        <v>4</v>
      </c>
      <c r="K94" s="14" t="s">
        <v>112</v>
      </c>
      <c r="L94" s="11" t="s">
        <v>17</v>
      </c>
      <c r="M94" s="11" t="s">
        <v>31</v>
      </c>
      <c r="N94" s="27">
        <v>4</v>
      </c>
      <c r="O94" s="31">
        <v>842.875</v>
      </c>
      <c r="P94" s="23">
        <f t="shared" si="2"/>
        <v>3371.5</v>
      </c>
    </row>
    <row r="95" spans="2:16" ht="15.75" customHeight="1" x14ac:dyDescent="0.25">
      <c r="B95" s="13">
        <v>46136</v>
      </c>
      <c r="C95" s="11">
        <v>164</v>
      </c>
      <c r="D95" s="11">
        <v>188</v>
      </c>
      <c r="E95" s="11">
        <v>191</v>
      </c>
      <c r="F95" s="11" t="s">
        <v>209</v>
      </c>
      <c r="G95" s="11" t="s">
        <v>63</v>
      </c>
      <c r="H95" s="14" t="s">
        <v>123</v>
      </c>
      <c r="I95" s="12">
        <v>501100043952</v>
      </c>
      <c r="J95" s="27">
        <v>5</v>
      </c>
      <c r="K95" s="14" t="s">
        <v>137</v>
      </c>
      <c r="L95" s="11" t="s">
        <v>17</v>
      </c>
      <c r="M95" s="11" t="s">
        <v>31</v>
      </c>
      <c r="N95" s="27">
        <v>5</v>
      </c>
      <c r="O95" s="31">
        <v>0.73499999999999999</v>
      </c>
      <c r="P95" s="22">
        <f t="shared" si="2"/>
        <v>3.6749999999999998</v>
      </c>
    </row>
    <row r="96" spans="2:16" x14ac:dyDescent="0.25">
      <c r="B96" s="13">
        <v>46133</v>
      </c>
      <c r="C96" s="11">
        <v>168</v>
      </c>
      <c r="D96" s="11">
        <v>182</v>
      </c>
      <c r="E96" s="11">
        <v>185</v>
      </c>
      <c r="F96" s="11" t="s">
        <v>209</v>
      </c>
      <c r="G96" s="11" t="s">
        <v>63</v>
      </c>
      <c r="H96" s="14" t="s">
        <v>123</v>
      </c>
      <c r="I96" s="12">
        <v>717200050224</v>
      </c>
      <c r="J96" s="27">
        <v>100</v>
      </c>
      <c r="K96" s="14" t="s">
        <v>119</v>
      </c>
      <c r="L96" s="11" t="s">
        <v>121</v>
      </c>
      <c r="M96" s="11" t="s">
        <v>31</v>
      </c>
      <c r="N96" s="27">
        <v>100</v>
      </c>
      <c r="O96" s="31">
        <v>10.230600000000001</v>
      </c>
      <c r="P96" s="22">
        <f t="shared" si="2"/>
        <v>1023.0600000000001</v>
      </c>
    </row>
    <row r="97" spans="2:16" x14ac:dyDescent="0.25">
      <c r="B97" s="13">
        <v>46129</v>
      </c>
      <c r="C97" s="11">
        <v>165</v>
      </c>
      <c r="D97" s="11">
        <v>177</v>
      </c>
      <c r="E97" s="11">
        <v>180</v>
      </c>
      <c r="F97" s="11" t="s">
        <v>209</v>
      </c>
      <c r="G97" s="11" t="s">
        <v>63</v>
      </c>
      <c r="H97" s="14" t="s">
        <v>123</v>
      </c>
      <c r="I97" s="12">
        <v>642900160496</v>
      </c>
      <c r="J97" s="27">
        <v>6</v>
      </c>
      <c r="K97" s="14" t="s">
        <v>138</v>
      </c>
      <c r="L97" s="11" t="s">
        <v>17</v>
      </c>
      <c r="M97" s="11" t="s">
        <v>31</v>
      </c>
      <c r="N97" s="27">
        <v>6</v>
      </c>
      <c r="O97" s="31">
        <v>250</v>
      </c>
      <c r="P97" s="22">
        <f t="shared" si="2"/>
        <v>1500</v>
      </c>
    </row>
    <row r="98" spans="2:16" x14ac:dyDescent="0.25">
      <c r="B98" s="13">
        <v>46128</v>
      </c>
      <c r="C98" s="11">
        <v>163</v>
      </c>
      <c r="D98" s="11">
        <v>176</v>
      </c>
      <c r="E98" s="11">
        <v>179</v>
      </c>
      <c r="F98" s="11" t="s">
        <v>209</v>
      </c>
      <c r="G98" s="11" t="s">
        <v>63</v>
      </c>
      <c r="H98" s="14" t="s">
        <v>123</v>
      </c>
      <c r="I98" s="12">
        <v>353800020037</v>
      </c>
      <c r="J98" s="27">
        <v>10</v>
      </c>
      <c r="K98" s="14" t="s">
        <v>140</v>
      </c>
      <c r="L98" s="11" t="s">
        <v>17</v>
      </c>
      <c r="M98" s="11" t="s">
        <v>139</v>
      </c>
      <c r="N98" s="27">
        <v>10</v>
      </c>
      <c r="O98" s="31">
        <v>68</v>
      </c>
      <c r="P98" s="22">
        <f t="shared" si="2"/>
        <v>680</v>
      </c>
    </row>
    <row r="99" spans="2:16" x14ac:dyDescent="0.25">
      <c r="B99" s="13">
        <v>46125</v>
      </c>
      <c r="C99" s="11">
        <v>141</v>
      </c>
      <c r="D99" s="11">
        <v>164</v>
      </c>
      <c r="E99" s="11">
        <v>167</v>
      </c>
      <c r="F99" s="11" t="s">
        <v>209</v>
      </c>
      <c r="G99" s="11" t="s">
        <v>206</v>
      </c>
      <c r="H99" s="14" t="s">
        <v>143</v>
      </c>
      <c r="I99" s="12">
        <v>642900027771</v>
      </c>
      <c r="J99" s="27">
        <v>25</v>
      </c>
      <c r="K99" s="14" t="s">
        <v>141</v>
      </c>
      <c r="L99" s="11" t="s">
        <v>17</v>
      </c>
      <c r="M99" s="11" t="s">
        <v>31</v>
      </c>
      <c r="N99" s="27">
        <v>25</v>
      </c>
      <c r="O99" s="31">
        <v>201</v>
      </c>
      <c r="P99" s="22">
        <f t="shared" si="2"/>
        <v>5025</v>
      </c>
    </row>
    <row r="100" spans="2:16" x14ac:dyDescent="0.25">
      <c r="B100" s="13">
        <v>46126</v>
      </c>
      <c r="C100" s="11">
        <v>141</v>
      </c>
      <c r="D100" s="11">
        <v>164</v>
      </c>
      <c r="E100" s="11">
        <v>167</v>
      </c>
      <c r="F100" s="11" t="s">
        <v>209</v>
      </c>
      <c r="G100" s="11" t="s">
        <v>206</v>
      </c>
      <c r="H100" s="14" t="s">
        <v>143</v>
      </c>
      <c r="I100" s="12">
        <v>642900027775</v>
      </c>
      <c r="J100" s="27">
        <v>25</v>
      </c>
      <c r="K100" s="14" t="s">
        <v>142</v>
      </c>
      <c r="L100" s="11" t="s">
        <v>17</v>
      </c>
      <c r="M100" s="11" t="s">
        <v>31</v>
      </c>
      <c r="N100" s="27">
        <v>25</v>
      </c>
      <c r="O100" s="31">
        <v>201</v>
      </c>
      <c r="P100" s="22">
        <f t="shared" si="2"/>
        <v>5025</v>
      </c>
    </row>
    <row r="101" spans="2:16" x14ac:dyDescent="0.25">
      <c r="B101" s="13">
        <v>46119</v>
      </c>
      <c r="C101" s="11">
        <v>131</v>
      </c>
      <c r="D101" s="11">
        <v>148</v>
      </c>
      <c r="E101" s="11">
        <v>151</v>
      </c>
      <c r="F101" s="11" t="s">
        <v>209</v>
      </c>
      <c r="G101" s="11" t="s">
        <v>63</v>
      </c>
      <c r="H101" s="14" t="s">
        <v>15</v>
      </c>
      <c r="I101" s="12">
        <v>261000310014</v>
      </c>
      <c r="J101" s="27">
        <v>100</v>
      </c>
      <c r="K101" s="14" t="s">
        <v>144</v>
      </c>
      <c r="L101" s="11" t="s">
        <v>17</v>
      </c>
      <c r="M101" s="11" t="s">
        <v>31</v>
      </c>
      <c r="N101" s="27">
        <v>100</v>
      </c>
      <c r="O101" s="31">
        <v>128.96</v>
      </c>
      <c r="P101" s="22">
        <f t="shared" si="2"/>
        <v>12896</v>
      </c>
    </row>
    <row r="102" spans="2:16" x14ac:dyDescent="0.25">
      <c r="B102" s="13">
        <v>46113</v>
      </c>
      <c r="C102" s="11">
        <v>132</v>
      </c>
      <c r="D102" s="11">
        <v>138</v>
      </c>
      <c r="E102" s="11">
        <v>140</v>
      </c>
      <c r="F102" s="11" t="s">
        <v>209</v>
      </c>
      <c r="G102" s="11" t="s">
        <v>63</v>
      </c>
      <c r="H102" s="14" t="s">
        <v>15</v>
      </c>
      <c r="I102" s="12">
        <v>767400090293</v>
      </c>
      <c r="J102" s="27">
        <v>108</v>
      </c>
      <c r="K102" s="14" t="s">
        <v>20</v>
      </c>
      <c r="L102" s="11" t="s">
        <v>17</v>
      </c>
      <c r="M102" s="11" t="s">
        <v>31</v>
      </c>
      <c r="N102" s="27">
        <v>108</v>
      </c>
      <c r="O102" s="31">
        <v>20</v>
      </c>
      <c r="P102" s="22">
        <f t="shared" si="2"/>
        <v>2160</v>
      </c>
    </row>
    <row r="103" spans="2:16" x14ac:dyDescent="0.25">
      <c r="B103" s="13">
        <v>46113</v>
      </c>
      <c r="C103" s="11">
        <v>132</v>
      </c>
      <c r="D103" s="11">
        <v>138</v>
      </c>
      <c r="E103" s="11">
        <v>140</v>
      </c>
      <c r="F103" s="11" t="s">
        <v>209</v>
      </c>
      <c r="G103" s="11" t="s">
        <v>63</v>
      </c>
      <c r="H103" s="14" t="s">
        <v>15</v>
      </c>
      <c r="I103" s="12">
        <v>710300050661</v>
      </c>
      <c r="J103" s="27">
        <v>70</v>
      </c>
      <c r="K103" s="14" t="s">
        <v>19</v>
      </c>
      <c r="L103" s="11" t="s">
        <v>17</v>
      </c>
      <c r="M103" s="11" t="s">
        <v>31</v>
      </c>
      <c r="N103" s="27">
        <v>70</v>
      </c>
      <c r="O103" s="31">
        <v>21</v>
      </c>
      <c r="P103" s="22">
        <f t="shared" si="2"/>
        <v>1470</v>
      </c>
    </row>
    <row r="104" spans="2:16" x14ac:dyDescent="0.25">
      <c r="B104" s="13">
        <v>46107</v>
      </c>
      <c r="C104" s="11">
        <v>121</v>
      </c>
      <c r="D104" s="11">
        <v>126</v>
      </c>
      <c r="E104" s="11">
        <v>128</v>
      </c>
      <c r="F104" s="11" t="s">
        <v>209</v>
      </c>
      <c r="G104" s="11" t="s">
        <v>63</v>
      </c>
      <c r="H104" s="14" t="s">
        <v>15</v>
      </c>
      <c r="I104" s="12">
        <v>805300010081</v>
      </c>
      <c r="J104" s="27">
        <v>10</v>
      </c>
      <c r="K104" s="14" t="s">
        <v>146</v>
      </c>
      <c r="L104" s="11" t="s">
        <v>17</v>
      </c>
      <c r="M104" s="11" t="s">
        <v>145</v>
      </c>
      <c r="N104" s="27">
        <v>10</v>
      </c>
      <c r="O104" s="31">
        <v>150.5</v>
      </c>
      <c r="P104" s="22">
        <f t="shared" si="2"/>
        <v>1505</v>
      </c>
    </row>
    <row r="105" spans="2:16" x14ac:dyDescent="0.25">
      <c r="B105" s="13">
        <v>46107</v>
      </c>
      <c r="C105" s="11">
        <v>127</v>
      </c>
      <c r="D105" s="11">
        <v>123</v>
      </c>
      <c r="E105" s="11">
        <v>125</v>
      </c>
      <c r="F105" s="11" t="s">
        <v>209</v>
      </c>
      <c r="G105" s="11" t="s">
        <v>14</v>
      </c>
      <c r="H105" s="14" t="s">
        <v>21</v>
      </c>
      <c r="I105" s="12">
        <v>718500080026</v>
      </c>
      <c r="J105" s="27">
        <v>13</v>
      </c>
      <c r="K105" s="14" t="s">
        <v>126</v>
      </c>
      <c r="L105" s="11" t="s">
        <v>17</v>
      </c>
      <c r="M105" s="11" t="s">
        <v>31</v>
      </c>
      <c r="N105" s="27">
        <v>13</v>
      </c>
      <c r="O105" s="31">
        <v>2.95</v>
      </c>
      <c r="P105" s="22">
        <f t="shared" si="2"/>
        <v>38.35</v>
      </c>
    </row>
    <row r="106" spans="2:16" x14ac:dyDescent="0.25">
      <c r="B106" s="13">
        <v>46107</v>
      </c>
      <c r="C106" s="11">
        <v>119</v>
      </c>
      <c r="D106" s="11">
        <v>122</v>
      </c>
      <c r="E106" s="11">
        <v>124</v>
      </c>
      <c r="F106" s="11" t="s">
        <v>209</v>
      </c>
      <c r="G106" s="11" t="s">
        <v>14</v>
      </c>
      <c r="H106" s="14" t="s">
        <v>21</v>
      </c>
      <c r="I106" s="12">
        <v>767400062930</v>
      </c>
      <c r="J106" s="27">
        <v>4</v>
      </c>
      <c r="K106" s="14" t="s">
        <v>148</v>
      </c>
      <c r="L106" s="11" t="s">
        <v>17</v>
      </c>
      <c r="M106" s="11" t="s">
        <v>147</v>
      </c>
      <c r="N106" s="27">
        <v>4</v>
      </c>
      <c r="O106" s="31">
        <v>488.12</v>
      </c>
      <c r="P106" s="22">
        <f t="shared" si="2"/>
        <v>1952.48</v>
      </c>
    </row>
    <row r="107" spans="2:16" x14ac:dyDescent="0.25">
      <c r="B107" s="13">
        <v>46105</v>
      </c>
      <c r="C107" s="11">
        <v>111</v>
      </c>
      <c r="D107" s="11">
        <v>119</v>
      </c>
      <c r="E107" s="11">
        <v>120</v>
      </c>
      <c r="F107" s="11" t="s">
        <v>209</v>
      </c>
      <c r="G107" s="11" t="s">
        <v>206</v>
      </c>
      <c r="H107" s="14" t="s">
        <v>21</v>
      </c>
      <c r="I107" s="12">
        <v>767400063822</v>
      </c>
      <c r="J107" s="27">
        <v>2</v>
      </c>
      <c r="K107" s="14" t="s">
        <v>105</v>
      </c>
      <c r="L107" s="11" t="s">
        <v>17</v>
      </c>
      <c r="M107" s="11" t="s">
        <v>106</v>
      </c>
      <c r="N107" s="27">
        <v>2</v>
      </c>
      <c r="O107" s="31">
        <v>391.75</v>
      </c>
      <c r="P107" s="22">
        <f t="shared" si="2"/>
        <v>783.5</v>
      </c>
    </row>
    <row r="108" spans="2:16" x14ac:dyDescent="0.25">
      <c r="B108" s="13">
        <v>46104</v>
      </c>
      <c r="C108" s="11">
        <v>114</v>
      </c>
      <c r="D108" s="11">
        <v>111</v>
      </c>
      <c r="E108" s="11">
        <v>112</v>
      </c>
      <c r="F108" s="11" t="s">
        <v>209</v>
      </c>
      <c r="G108" s="11" t="s">
        <v>206</v>
      </c>
      <c r="H108" s="14" t="s">
        <v>21</v>
      </c>
      <c r="I108" s="12">
        <v>767400063804</v>
      </c>
      <c r="J108" s="27">
        <v>2</v>
      </c>
      <c r="K108" s="14" t="s">
        <v>115</v>
      </c>
      <c r="L108" s="11" t="s">
        <v>17</v>
      </c>
      <c r="M108" s="11" t="s">
        <v>114</v>
      </c>
      <c r="N108" s="27">
        <v>2</v>
      </c>
      <c r="O108" s="31">
        <v>366.29599999999999</v>
      </c>
      <c r="P108" s="22">
        <f t="shared" si="2"/>
        <v>732.59199999999998</v>
      </c>
    </row>
    <row r="109" spans="2:16" x14ac:dyDescent="0.25">
      <c r="B109" s="13">
        <v>46101</v>
      </c>
      <c r="C109" s="11">
        <v>110</v>
      </c>
      <c r="D109" s="11">
        <v>104</v>
      </c>
      <c r="E109" s="11">
        <v>105</v>
      </c>
      <c r="F109" s="11" t="s">
        <v>209</v>
      </c>
      <c r="G109" s="11" t="s">
        <v>63</v>
      </c>
      <c r="H109" s="14" t="s">
        <v>15</v>
      </c>
      <c r="I109" s="12">
        <v>495700280142</v>
      </c>
      <c r="J109" s="27">
        <v>70</v>
      </c>
      <c r="K109" s="14" t="s">
        <v>150</v>
      </c>
      <c r="L109" s="11" t="s">
        <v>17</v>
      </c>
      <c r="M109" s="11" t="s">
        <v>149</v>
      </c>
      <c r="N109" s="27">
        <v>70</v>
      </c>
      <c r="O109" s="31">
        <v>9.5</v>
      </c>
      <c r="P109" s="22">
        <f t="shared" si="2"/>
        <v>665</v>
      </c>
    </row>
    <row r="110" spans="2:16" x14ac:dyDescent="0.25">
      <c r="B110" s="13">
        <v>46101</v>
      </c>
      <c r="C110" s="11">
        <v>110</v>
      </c>
      <c r="D110" s="11">
        <v>104</v>
      </c>
      <c r="E110" s="11">
        <v>105</v>
      </c>
      <c r="F110" s="11" t="s">
        <v>209</v>
      </c>
      <c r="G110" s="11" t="s">
        <v>63</v>
      </c>
      <c r="H110" s="14" t="s">
        <v>15</v>
      </c>
      <c r="I110" s="12">
        <v>495700280141</v>
      </c>
      <c r="J110" s="27">
        <v>70</v>
      </c>
      <c r="K110" s="14" t="s">
        <v>151</v>
      </c>
      <c r="L110" s="11" t="s">
        <v>17</v>
      </c>
      <c r="M110" s="11" t="s">
        <v>149</v>
      </c>
      <c r="N110" s="27">
        <v>70</v>
      </c>
      <c r="O110" s="31">
        <v>9.5</v>
      </c>
      <c r="P110" s="22">
        <f t="shared" si="2"/>
        <v>665</v>
      </c>
    </row>
    <row r="111" spans="2:16" x14ac:dyDescent="0.25">
      <c r="B111" s="13">
        <v>46101</v>
      </c>
      <c r="C111" s="11">
        <v>104</v>
      </c>
      <c r="D111" s="11">
        <v>103</v>
      </c>
      <c r="E111" s="11">
        <v>104</v>
      </c>
      <c r="F111" s="11" t="s">
        <v>209</v>
      </c>
      <c r="G111" s="11" t="s">
        <v>63</v>
      </c>
      <c r="H111" s="14" t="s">
        <v>123</v>
      </c>
      <c r="I111" s="12">
        <v>642900027773</v>
      </c>
      <c r="J111" s="27">
        <v>12</v>
      </c>
      <c r="K111" s="14" t="s">
        <v>152</v>
      </c>
      <c r="L111" s="11" t="s">
        <v>17</v>
      </c>
      <c r="M111" s="11" t="s">
        <v>31</v>
      </c>
      <c r="N111" s="27">
        <v>12</v>
      </c>
      <c r="O111" s="31">
        <v>200</v>
      </c>
      <c r="P111" s="22">
        <f t="shared" si="2"/>
        <v>2400</v>
      </c>
    </row>
    <row r="112" spans="2:16" x14ac:dyDescent="0.25">
      <c r="B112" s="13">
        <v>46101</v>
      </c>
      <c r="C112" s="11">
        <v>104</v>
      </c>
      <c r="D112" s="11">
        <v>103</v>
      </c>
      <c r="E112" s="11">
        <v>104</v>
      </c>
      <c r="F112" s="11" t="s">
        <v>209</v>
      </c>
      <c r="G112" s="11" t="s">
        <v>63</v>
      </c>
      <c r="H112" s="14" t="s">
        <v>123</v>
      </c>
      <c r="I112" s="12">
        <v>642900027771</v>
      </c>
      <c r="J112" s="27">
        <v>5</v>
      </c>
      <c r="K112" s="14" t="s">
        <v>153</v>
      </c>
      <c r="L112" s="11" t="s">
        <v>17</v>
      </c>
      <c r="M112" s="11" t="s">
        <v>31</v>
      </c>
      <c r="N112" s="27">
        <v>5</v>
      </c>
      <c r="O112" s="31">
        <v>214</v>
      </c>
      <c r="P112" s="22">
        <f t="shared" si="2"/>
        <v>1070</v>
      </c>
    </row>
    <row r="113" spans="2:16" x14ac:dyDescent="0.25">
      <c r="B113" s="13">
        <v>46099</v>
      </c>
      <c r="C113" s="11">
        <v>101</v>
      </c>
      <c r="D113" s="11">
        <v>99</v>
      </c>
      <c r="E113" s="11">
        <v>100</v>
      </c>
      <c r="F113" s="11" t="s">
        <v>209</v>
      </c>
      <c r="G113" s="11" t="s">
        <v>63</v>
      </c>
      <c r="H113" s="14" t="s">
        <v>15</v>
      </c>
      <c r="I113" s="12">
        <v>767500010059</v>
      </c>
      <c r="J113" s="27">
        <v>300</v>
      </c>
      <c r="K113" s="14" t="s">
        <v>154</v>
      </c>
      <c r="L113" s="11" t="s">
        <v>17</v>
      </c>
      <c r="M113" s="11" t="s">
        <v>18</v>
      </c>
      <c r="N113" s="27">
        <v>300</v>
      </c>
      <c r="O113" s="31">
        <v>20.9</v>
      </c>
      <c r="P113" s="22">
        <f t="shared" si="2"/>
        <v>6270</v>
      </c>
    </row>
    <row r="114" spans="2:16" x14ac:dyDescent="0.25">
      <c r="B114" s="13">
        <v>46098</v>
      </c>
      <c r="C114" s="11">
        <v>90</v>
      </c>
      <c r="D114" s="11">
        <v>88</v>
      </c>
      <c r="E114" s="11">
        <v>88</v>
      </c>
      <c r="F114" s="11"/>
      <c r="G114" s="11"/>
      <c r="H114" s="14" t="s">
        <v>21</v>
      </c>
      <c r="I114" s="12">
        <v>767400063264</v>
      </c>
      <c r="J114" s="27">
        <v>1</v>
      </c>
      <c r="K114" s="14" t="s">
        <v>155</v>
      </c>
      <c r="L114" s="11" t="s">
        <v>17</v>
      </c>
      <c r="M114" s="11" t="s">
        <v>100</v>
      </c>
      <c r="N114" s="27">
        <v>1</v>
      </c>
      <c r="O114" s="31">
        <v>774.98</v>
      </c>
      <c r="P114" s="22">
        <f t="shared" si="2"/>
        <v>774.98</v>
      </c>
    </row>
    <row r="115" spans="2:16" x14ac:dyDescent="0.25">
      <c r="B115" s="13">
        <v>46098</v>
      </c>
      <c r="C115" s="11">
        <v>89</v>
      </c>
      <c r="D115" s="11">
        <v>87</v>
      </c>
      <c r="E115" s="11">
        <v>87</v>
      </c>
      <c r="F115" s="11"/>
      <c r="G115" s="11"/>
      <c r="H115" s="14" t="s">
        <v>21</v>
      </c>
      <c r="I115" s="12">
        <v>767400063265</v>
      </c>
      <c r="J115" s="27">
        <v>2</v>
      </c>
      <c r="K115" s="14" t="s">
        <v>156</v>
      </c>
      <c r="L115" s="11" t="s">
        <v>17</v>
      </c>
      <c r="M115" s="11" t="s">
        <v>100</v>
      </c>
      <c r="N115" s="27">
        <v>2</v>
      </c>
      <c r="O115" s="31">
        <v>774.97500000000002</v>
      </c>
      <c r="P115" s="22">
        <f t="shared" si="2"/>
        <v>1549.95</v>
      </c>
    </row>
    <row r="116" spans="2:16" x14ac:dyDescent="0.25">
      <c r="B116" s="13">
        <v>46098</v>
      </c>
      <c r="C116" s="11">
        <v>88</v>
      </c>
      <c r="D116" s="11">
        <v>86</v>
      </c>
      <c r="E116" s="11">
        <v>86</v>
      </c>
      <c r="F116" s="11"/>
      <c r="G116" s="11"/>
      <c r="H116" s="14" t="s">
        <v>21</v>
      </c>
      <c r="I116" s="12">
        <v>767400063263</v>
      </c>
      <c r="J116" s="27">
        <v>1</v>
      </c>
      <c r="K116" s="14" t="s">
        <v>157</v>
      </c>
      <c r="L116" s="11" t="s">
        <v>17</v>
      </c>
      <c r="M116" s="11" t="s">
        <v>100</v>
      </c>
      <c r="N116" s="27">
        <v>1</v>
      </c>
      <c r="O116" s="31">
        <v>774.97500000000002</v>
      </c>
      <c r="P116" s="22">
        <f t="shared" si="2"/>
        <v>774.97500000000002</v>
      </c>
    </row>
    <row r="117" spans="2:16" x14ac:dyDescent="0.25">
      <c r="B117" s="13">
        <v>46098</v>
      </c>
      <c r="C117" s="11">
        <v>87</v>
      </c>
      <c r="D117" s="11">
        <v>85</v>
      </c>
      <c r="E117" s="11">
        <v>85</v>
      </c>
      <c r="F117" s="11"/>
      <c r="G117" s="11"/>
      <c r="H117" s="14" t="s">
        <v>21</v>
      </c>
      <c r="I117" s="12">
        <v>767400061139</v>
      </c>
      <c r="J117" s="27">
        <v>2</v>
      </c>
      <c r="K117" s="14" t="s">
        <v>158</v>
      </c>
      <c r="L117" s="11" t="s">
        <v>17</v>
      </c>
      <c r="M117" s="11" t="s">
        <v>100</v>
      </c>
      <c r="N117" s="27">
        <v>2</v>
      </c>
      <c r="O117" s="31">
        <v>313.96499999999997</v>
      </c>
      <c r="P117" s="22">
        <f t="shared" si="2"/>
        <v>627.92999999999995</v>
      </c>
    </row>
    <row r="118" spans="2:16" x14ac:dyDescent="0.25">
      <c r="B118" s="13">
        <v>46097</v>
      </c>
      <c r="C118" s="11">
        <v>58</v>
      </c>
      <c r="D118" s="11">
        <v>83</v>
      </c>
      <c r="E118" s="11">
        <v>83</v>
      </c>
      <c r="F118" s="11" t="s">
        <v>209</v>
      </c>
      <c r="G118" s="11" t="s">
        <v>63</v>
      </c>
      <c r="H118" s="14" t="s">
        <v>15</v>
      </c>
      <c r="I118" s="12">
        <v>133000370109</v>
      </c>
      <c r="J118" s="27">
        <v>230</v>
      </c>
      <c r="K118" s="14" t="s">
        <v>160</v>
      </c>
      <c r="L118" s="11" t="s">
        <v>17</v>
      </c>
      <c r="M118" s="11" t="s">
        <v>159</v>
      </c>
      <c r="N118" s="27">
        <v>230</v>
      </c>
      <c r="O118" s="31">
        <v>8.5786090000000002</v>
      </c>
      <c r="P118" s="22">
        <f t="shared" si="2"/>
        <v>1973.08007</v>
      </c>
    </row>
    <row r="119" spans="2:16" x14ac:dyDescent="0.25">
      <c r="B119" s="13">
        <v>46094</v>
      </c>
      <c r="C119" s="11">
        <v>81</v>
      </c>
      <c r="D119" s="11">
        <v>81</v>
      </c>
      <c r="E119" s="11">
        <v>81</v>
      </c>
      <c r="F119" s="11" t="s">
        <v>209</v>
      </c>
      <c r="G119" s="11" t="s">
        <v>63</v>
      </c>
      <c r="H119" s="14" t="s">
        <v>15</v>
      </c>
      <c r="I119" s="12">
        <v>70400190149</v>
      </c>
      <c r="J119" s="27">
        <v>50</v>
      </c>
      <c r="K119" s="14" t="s">
        <v>162</v>
      </c>
      <c r="L119" s="11" t="s">
        <v>17</v>
      </c>
      <c r="M119" s="11" t="s">
        <v>161</v>
      </c>
      <c r="N119" s="27">
        <v>50</v>
      </c>
      <c r="O119" s="31">
        <v>29.59</v>
      </c>
      <c r="P119" s="22">
        <f t="shared" si="2"/>
        <v>1479.5</v>
      </c>
    </row>
    <row r="120" spans="2:16" x14ac:dyDescent="0.25">
      <c r="B120" s="13">
        <v>46094</v>
      </c>
      <c r="C120" s="11">
        <v>81</v>
      </c>
      <c r="D120" s="11">
        <v>81</v>
      </c>
      <c r="E120" s="11">
        <v>81</v>
      </c>
      <c r="F120" s="11" t="s">
        <v>209</v>
      </c>
      <c r="G120" s="11" t="s">
        <v>63</v>
      </c>
      <c r="H120" s="14" t="s">
        <v>15</v>
      </c>
      <c r="I120" s="12">
        <v>503300220042</v>
      </c>
      <c r="J120" s="27">
        <v>200</v>
      </c>
      <c r="K120" s="14" t="s">
        <v>163</v>
      </c>
      <c r="L120" s="11" t="s">
        <v>17</v>
      </c>
      <c r="M120" s="11" t="s">
        <v>86</v>
      </c>
      <c r="N120" s="27">
        <v>200</v>
      </c>
      <c r="O120" s="31">
        <v>29.9</v>
      </c>
      <c r="P120" s="22">
        <f t="shared" si="2"/>
        <v>5980</v>
      </c>
    </row>
    <row r="121" spans="2:16" x14ac:dyDescent="0.25">
      <c r="B121" s="13">
        <v>46094</v>
      </c>
      <c r="C121" s="11">
        <v>93</v>
      </c>
      <c r="D121" s="11">
        <v>79</v>
      </c>
      <c r="E121" s="11">
        <v>79</v>
      </c>
      <c r="F121" s="11" t="s">
        <v>209</v>
      </c>
      <c r="G121" s="11" t="s">
        <v>206</v>
      </c>
      <c r="H121" s="14" t="s">
        <v>21</v>
      </c>
      <c r="I121" s="12">
        <v>717200050224</v>
      </c>
      <c r="J121" s="27">
        <v>200</v>
      </c>
      <c r="K121" s="14" t="s">
        <v>119</v>
      </c>
      <c r="L121" s="11" t="s">
        <v>121</v>
      </c>
      <c r="M121" s="11" t="s">
        <v>164</v>
      </c>
      <c r="N121" s="27">
        <v>200</v>
      </c>
      <c r="O121" s="31">
        <v>9.7349999999999994</v>
      </c>
      <c r="P121" s="22">
        <f t="shared" ref="P121" si="3">N121*O121</f>
        <v>1947</v>
      </c>
    </row>
    <row r="122" spans="2:16" x14ac:dyDescent="0.25">
      <c r="B122" s="13">
        <v>46094</v>
      </c>
      <c r="C122" s="11">
        <v>93</v>
      </c>
      <c r="D122" s="11">
        <v>79</v>
      </c>
      <c r="E122" s="11">
        <v>79</v>
      </c>
      <c r="F122" s="11" t="s">
        <v>209</v>
      </c>
      <c r="G122" s="11" t="s">
        <v>14</v>
      </c>
      <c r="H122" s="14" t="s">
        <v>21</v>
      </c>
      <c r="I122" s="12">
        <v>717200050224</v>
      </c>
      <c r="J122" s="27">
        <v>200</v>
      </c>
      <c r="K122" s="14" t="s">
        <v>119</v>
      </c>
      <c r="L122" s="11" t="s">
        <v>121</v>
      </c>
      <c r="M122" s="11" t="s">
        <v>164</v>
      </c>
      <c r="N122" s="27">
        <v>200</v>
      </c>
      <c r="O122" s="31">
        <v>9.7349999999999994</v>
      </c>
      <c r="P122" s="22">
        <f t="shared" si="2"/>
        <v>1947</v>
      </c>
    </row>
    <row r="123" spans="2:16" x14ac:dyDescent="0.25">
      <c r="B123" s="13">
        <v>46093</v>
      </c>
      <c r="C123" s="11">
        <v>42</v>
      </c>
      <c r="D123" s="11">
        <v>78</v>
      </c>
      <c r="E123" s="11">
        <v>78</v>
      </c>
      <c r="F123" s="11" t="s">
        <v>209</v>
      </c>
      <c r="G123" s="11" t="s">
        <v>63</v>
      </c>
      <c r="H123" s="14" t="s">
        <v>15</v>
      </c>
      <c r="I123" s="12">
        <v>767400052331</v>
      </c>
      <c r="J123" s="27">
        <v>32013</v>
      </c>
      <c r="K123" s="14" t="s">
        <v>165</v>
      </c>
      <c r="L123" s="11" t="s">
        <v>17</v>
      </c>
      <c r="M123" s="11" t="s">
        <v>100</v>
      </c>
      <c r="N123" s="27">
        <v>32013</v>
      </c>
      <c r="O123" s="31">
        <v>42.845799999999997</v>
      </c>
      <c r="P123" s="22">
        <f>N123*O123</f>
        <v>1371622.5954</v>
      </c>
    </row>
    <row r="124" spans="2:16" x14ac:dyDescent="0.25">
      <c r="B124" s="13">
        <v>46093</v>
      </c>
      <c r="C124" s="11">
        <v>60</v>
      </c>
      <c r="D124" s="11">
        <v>77</v>
      </c>
      <c r="E124" s="11">
        <v>77</v>
      </c>
      <c r="F124" s="11" t="s">
        <v>209</v>
      </c>
      <c r="G124" s="11" t="s">
        <v>63</v>
      </c>
      <c r="H124" s="14" t="s">
        <v>15</v>
      </c>
      <c r="I124" s="12">
        <v>805000050345</v>
      </c>
      <c r="J124" s="27">
        <v>80</v>
      </c>
      <c r="K124" s="14" t="s">
        <v>166</v>
      </c>
      <c r="L124" s="11" t="s">
        <v>169</v>
      </c>
      <c r="M124" s="11" t="s">
        <v>171</v>
      </c>
      <c r="N124" s="27">
        <v>80</v>
      </c>
      <c r="O124" s="31">
        <v>3.92</v>
      </c>
      <c r="P124" s="22">
        <f>N124*O124</f>
        <v>313.60000000000002</v>
      </c>
    </row>
    <row r="125" spans="2:16" x14ac:dyDescent="0.25">
      <c r="B125" s="13">
        <v>46093</v>
      </c>
      <c r="C125" s="11">
        <v>60</v>
      </c>
      <c r="D125" s="11">
        <v>77</v>
      </c>
      <c r="E125" s="11">
        <v>77</v>
      </c>
      <c r="F125" s="11" t="s">
        <v>209</v>
      </c>
      <c r="G125" s="11" t="s">
        <v>63</v>
      </c>
      <c r="H125" s="14" t="s">
        <v>15</v>
      </c>
      <c r="I125" s="12">
        <v>133000370102</v>
      </c>
      <c r="J125" s="27">
        <v>230</v>
      </c>
      <c r="K125" s="14" t="s">
        <v>167</v>
      </c>
      <c r="L125" s="11" t="s">
        <v>17</v>
      </c>
      <c r="M125" s="11" t="s">
        <v>172</v>
      </c>
      <c r="N125" s="27">
        <v>230</v>
      </c>
      <c r="O125" s="31">
        <v>7.8</v>
      </c>
      <c r="P125" s="22">
        <f t="shared" si="2"/>
        <v>1794</v>
      </c>
    </row>
    <row r="126" spans="2:16" x14ac:dyDescent="0.25">
      <c r="B126" s="13">
        <v>46093</v>
      </c>
      <c r="C126" s="11">
        <v>60</v>
      </c>
      <c r="D126" s="11">
        <v>77</v>
      </c>
      <c r="E126" s="11">
        <v>77</v>
      </c>
      <c r="F126" s="11" t="s">
        <v>209</v>
      </c>
      <c r="G126" s="11" t="s">
        <v>63</v>
      </c>
      <c r="H126" s="14" t="s">
        <v>15</v>
      </c>
      <c r="I126" s="12">
        <v>737100040001</v>
      </c>
      <c r="J126" s="27">
        <v>250</v>
      </c>
      <c r="K126" s="14" t="s">
        <v>168</v>
      </c>
      <c r="L126" s="11" t="s">
        <v>170</v>
      </c>
      <c r="M126" s="11" t="s">
        <v>86</v>
      </c>
      <c r="N126" s="27">
        <v>250</v>
      </c>
      <c r="O126" s="31">
        <v>4.99</v>
      </c>
      <c r="P126" s="22">
        <f t="shared" si="2"/>
        <v>1247.5</v>
      </c>
    </row>
    <row r="127" spans="2:16" x14ac:dyDescent="0.25">
      <c r="B127" s="13">
        <v>46091</v>
      </c>
      <c r="C127" s="11">
        <v>70</v>
      </c>
      <c r="D127" s="11">
        <v>70</v>
      </c>
      <c r="E127" s="11">
        <v>70</v>
      </c>
      <c r="F127" s="11" t="s">
        <v>209</v>
      </c>
      <c r="G127" s="11" t="s">
        <v>206</v>
      </c>
      <c r="H127" s="14" t="s">
        <v>21</v>
      </c>
      <c r="I127" s="12">
        <v>767400090293</v>
      </c>
      <c r="J127" s="27">
        <v>8</v>
      </c>
      <c r="K127" s="14" t="s">
        <v>20</v>
      </c>
      <c r="L127" s="11" t="s">
        <v>17</v>
      </c>
      <c r="M127" s="11" t="s">
        <v>18</v>
      </c>
      <c r="N127" s="27">
        <v>16</v>
      </c>
      <c r="O127" s="31">
        <v>24.3</v>
      </c>
      <c r="P127" s="22">
        <f t="shared" ref="P127" si="4">N127*O127</f>
        <v>388.8</v>
      </c>
    </row>
    <row r="128" spans="2:16" x14ac:dyDescent="0.25">
      <c r="B128" s="13">
        <v>46091</v>
      </c>
      <c r="C128" s="11">
        <v>70</v>
      </c>
      <c r="D128" s="11">
        <v>70</v>
      </c>
      <c r="E128" s="11">
        <v>70</v>
      </c>
      <c r="F128" s="11" t="s">
        <v>209</v>
      </c>
      <c r="G128" s="11" t="s">
        <v>14</v>
      </c>
      <c r="H128" s="14" t="s">
        <v>21</v>
      </c>
      <c r="I128" s="12">
        <v>767400090293</v>
      </c>
      <c r="J128" s="27">
        <v>8</v>
      </c>
      <c r="K128" s="14" t="s">
        <v>20</v>
      </c>
      <c r="L128" s="11" t="s">
        <v>17</v>
      </c>
      <c r="M128" s="11" t="s">
        <v>18</v>
      </c>
      <c r="N128" s="27">
        <v>16</v>
      </c>
      <c r="O128" s="31">
        <v>24.3</v>
      </c>
      <c r="P128" s="22">
        <f t="shared" si="2"/>
        <v>388.8</v>
      </c>
    </row>
    <row r="129" spans="2:16" x14ac:dyDescent="0.25">
      <c r="B129" s="13">
        <v>46091</v>
      </c>
      <c r="C129" s="11">
        <v>70</v>
      </c>
      <c r="D129" s="11">
        <v>70</v>
      </c>
      <c r="E129" s="11">
        <v>70</v>
      </c>
      <c r="F129" s="11" t="s">
        <v>209</v>
      </c>
      <c r="G129" s="11" t="s">
        <v>206</v>
      </c>
      <c r="H129" s="14" t="s">
        <v>21</v>
      </c>
      <c r="I129" s="12">
        <v>710300050295</v>
      </c>
      <c r="J129" s="27">
        <v>18</v>
      </c>
      <c r="K129" s="14" t="s">
        <v>173</v>
      </c>
      <c r="L129" s="11" t="s">
        <v>17</v>
      </c>
      <c r="M129" s="11" t="s">
        <v>18</v>
      </c>
      <c r="N129" s="27">
        <v>36</v>
      </c>
      <c r="O129" s="31">
        <v>19.45</v>
      </c>
      <c r="P129" s="22">
        <f t="shared" ref="P129" si="5">N129*O129</f>
        <v>700.19999999999993</v>
      </c>
    </row>
    <row r="130" spans="2:16" x14ac:dyDescent="0.25">
      <c r="B130" s="13">
        <v>46091</v>
      </c>
      <c r="C130" s="11">
        <v>70</v>
      </c>
      <c r="D130" s="11">
        <v>70</v>
      </c>
      <c r="E130" s="11">
        <v>70</v>
      </c>
      <c r="F130" s="11" t="s">
        <v>209</v>
      </c>
      <c r="G130" s="11" t="s">
        <v>14</v>
      </c>
      <c r="H130" s="14" t="s">
        <v>21</v>
      </c>
      <c r="I130" s="12">
        <v>710300050295</v>
      </c>
      <c r="J130" s="27">
        <v>18</v>
      </c>
      <c r="K130" s="14" t="s">
        <v>173</v>
      </c>
      <c r="L130" s="11" t="s">
        <v>17</v>
      </c>
      <c r="M130" s="11" t="s">
        <v>18</v>
      </c>
      <c r="N130" s="27">
        <v>36</v>
      </c>
      <c r="O130" s="31">
        <v>19.45</v>
      </c>
      <c r="P130" s="22">
        <f t="shared" si="2"/>
        <v>700.19999999999993</v>
      </c>
    </row>
    <row r="131" spans="2:16" x14ac:dyDescent="0.25">
      <c r="B131" s="35">
        <v>46090</v>
      </c>
      <c r="C131" s="11">
        <v>72</v>
      </c>
      <c r="D131" s="11">
        <v>64</v>
      </c>
      <c r="E131" s="11">
        <v>64</v>
      </c>
      <c r="F131" s="11" t="s">
        <v>209</v>
      </c>
      <c r="G131" s="11" t="s">
        <v>63</v>
      </c>
      <c r="H131" s="14" t="s">
        <v>15</v>
      </c>
      <c r="I131" s="12">
        <v>283400190015</v>
      </c>
      <c r="J131" s="27">
        <v>1300</v>
      </c>
      <c r="K131" s="14" t="s">
        <v>174</v>
      </c>
      <c r="L131" s="11" t="s">
        <v>17</v>
      </c>
      <c r="M131" s="11" t="s">
        <v>82</v>
      </c>
      <c r="N131" s="27">
        <v>1300</v>
      </c>
      <c r="O131" s="31">
        <v>1.26</v>
      </c>
      <c r="P131" s="22">
        <f t="shared" si="2"/>
        <v>1638</v>
      </c>
    </row>
    <row r="132" spans="2:16" x14ac:dyDescent="0.25">
      <c r="B132" s="13">
        <v>46087</v>
      </c>
      <c r="C132" s="36">
        <v>67</v>
      </c>
      <c r="D132" s="36">
        <v>60</v>
      </c>
      <c r="E132" s="36">
        <v>60</v>
      </c>
      <c r="F132" s="36" t="s">
        <v>209</v>
      </c>
      <c r="G132" s="36" t="s">
        <v>63</v>
      </c>
      <c r="H132" s="37" t="s">
        <v>15</v>
      </c>
      <c r="I132" s="38">
        <v>496900320024</v>
      </c>
      <c r="J132" s="39">
        <v>15</v>
      </c>
      <c r="K132" s="37" t="s">
        <v>175</v>
      </c>
      <c r="L132" s="36" t="s">
        <v>17</v>
      </c>
      <c r="M132" s="36" t="s">
        <v>180</v>
      </c>
      <c r="N132" s="39">
        <v>15</v>
      </c>
      <c r="O132" s="40">
        <v>27.5</v>
      </c>
      <c r="P132" s="23">
        <f t="shared" si="2"/>
        <v>412.5</v>
      </c>
    </row>
    <row r="133" spans="2:16" x14ac:dyDescent="0.25">
      <c r="B133" s="13">
        <v>46087</v>
      </c>
      <c r="C133" s="11">
        <v>67</v>
      </c>
      <c r="D133" s="11">
        <v>60</v>
      </c>
      <c r="E133" s="11">
        <v>60</v>
      </c>
      <c r="F133" s="11" t="s">
        <v>209</v>
      </c>
      <c r="G133" s="11" t="s">
        <v>63</v>
      </c>
      <c r="H133" s="14" t="s">
        <v>15</v>
      </c>
      <c r="I133" s="12">
        <v>496900320025</v>
      </c>
      <c r="J133" s="27">
        <v>10</v>
      </c>
      <c r="K133" s="14" t="s">
        <v>176</v>
      </c>
      <c r="L133" s="11" t="s">
        <v>17</v>
      </c>
      <c r="M133" s="11" t="s">
        <v>180</v>
      </c>
      <c r="N133" s="27">
        <v>10</v>
      </c>
      <c r="O133" s="31">
        <v>27.5</v>
      </c>
      <c r="P133" s="22">
        <f t="shared" si="2"/>
        <v>275</v>
      </c>
    </row>
    <row r="134" spans="2:16" x14ac:dyDescent="0.25">
      <c r="B134" s="13">
        <v>46087</v>
      </c>
      <c r="C134" s="11">
        <v>67</v>
      </c>
      <c r="D134" s="11">
        <v>60</v>
      </c>
      <c r="E134" s="11">
        <v>60</v>
      </c>
      <c r="F134" s="11" t="s">
        <v>209</v>
      </c>
      <c r="G134" s="11" t="s">
        <v>63</v>
      </c>
      <c r="H134" s="14" t="s">
        <v>15</v>
      </c>
      <c r="I134" s="12">
        <v>496900320032</v>
      </c>
      <c r="J134" s="27">
        <v>15</v>
      </c>
      <c r="K134" s="14" t="s">
        <v>177</v>
      </c>
      <c r="L134" s="11" t="s">
        <v>17</v>
      </c>
      <c r="M134" s="11" t="s">
        <v>180</v>
      </c>
      <c r="N134" s="27">
        <v>15</v>
      </c>
      <c r="O134" s="31">
        <v>27.5</v>
      </c>
      <c r="P134" s="22">
        <f t="shared" si="2"/>
        <v>412.5</v>
      </c>
    </row>
    <row r="135" spans="2:16" x14ac:dyDescent="0.25">
      <c r="B135" s="13">
        <v>46087</v>
      </c>
      <c r="C135" s="11">
        <v>67</v>
      </c>
      <c r="D135" s="11">
        <v>60</v>
      </c>
      <c r="E135" s="11">
        <v>60</v>
      </c>
      <c r="F135" s="11" t="s">
        <v>209</v>
      </c>
      <c r="G135" s="11" t="s">
        <v>63</v>
      </c>
      <c r="H135" s="14" t="s">
        <v>15</v>
      </c>
      <c r="I135" s="12">
        <v>496900320051</v>
      </c>
      <c r="J135" s="27">
        <v>10</v>
      </c>
      <c r="K135" s="14" t="s">
        <v>178</v>
      </c>
      <c r="L135" s="11" t="s">
        <v>17</v>
      </c>
      <c r="M135" s="11" t="s">
        <v>180</v>
      </c>
      <c r="N135" s="27">
        <v>10</v>
      </c>
      <c r="O135" s="31">
        <v>27.5</v>
      </c>
      <c r="P135" s="22">
        <f t="shared" si="2"/>
        <v>275</v>
      </c>
    </row>
    <row r="136" spans="2:16" x14ac:dyDescent="0.25">
      <c r="B136" s="13">
        <v>46087</v>
      </c>
      <c r="C136" s="11">
        <v>67</v>
      </c>
      <c r="D136" s="11">
        <v>60</v>
      </c>
      <c r="E136" s="11">
        <v>60</v>
      </c>
      <c r="F136" s="11" t="s">
        <v>209</v>
      </c>
      <c r="G136" s="11" t="s">
        <v>63</v>
      </c>
      <c r="H136" s="14" t="s">
        <v>15</v>
      </c>
      <c r="I136" s="12">
        <v>805000080753</v>
      </c>
      <c r="J136" s="27">
        <v>20</v>
      </c>
      <c r="K136" s="14" t="s">
        <v>179</v>
      </c>
      <c r="L136" s="11" t="s">
        <v>169</v>
      </c>
      <c r="M136" s="11" t="s">
        <v>181</v>
      </c>
      <c r="N136" s="27">
        <v>20</v>
      </c>
      <c r="O136" s="31">
        <v>77.5</v>
      </c>
      <c r="P136" s="22">
        <f t="shared" si="2"/>
        <v>1550</v>
      </c>
    </row>
    <row r="137" spans="2:16" x14ac:dyDescent="0.25">
      <c r="B137" s="13">
        <v>46086</v>
      </c>
      <c r="C137" s="11">
        <v>57</v>
      </c>
      <c r="D137" s="11">
        <v>58</v>
      </c>
      <c r="E137" s="11">
        <v>58</v>
      </c>
      <c r="F137" s="11" t="s">
        <v>209</v>
      </c>
      <c r="G137" s="11" t="s">
        <v>63</v>
      </c>
      <c r="H137" s="14" t="s">
        <v>15</v>
      </c>
      <c r="I137" s="12">
        <v>135000210067</v>
      </c>
      <c r="J137" s="27">
        <v>120</v>
      </c>
      <c r="K137" s="14" t="s">
        <v>182</v>
      </c>
      <c r="L137" s="11" t="s">
        <v>17</v>
      </c>
      <c r="M137" s="11" t="s">
        <v>183</v>
      </c>
      <c r="N137" s="27">
        <v>120</v>
      </c>
      <c r="O137" s="31">
        <v>2.714</v>
      </c>
      <c r="P137" s="22">
        <f t="shared" si="2"/>
        <v>325.68</v>
      </c>
    </row>
    <row r="138" spans="2:16" x14ac:dyDescent="0.25">
      <c r="B138" s="13">
        <v>46086</v>
      </c>
      <c r="C138" s="11">
        <v>56</v>
      </c>
      <c r="D138" s="11">
        <v>57</v>
      </c>
      <c r="E138" s="11">
        <v>57</v>
      </c>
      <c r="F138" s="11" t="s">
        <v>209</v>
      </c>
      <c r="G138" s="11" t="s">
        <v>63</v>
      </c>
      <c r="H138" s="14" t="s">
        <v>15</v>
      </c>
      <c r="I138" s="12">
        <v>586600290011</v>
      </c>
      <c r="J138" s="27">
        <v>100</v>
      </c>
      <c r="K138" s="14" t="s">
        <v>184</v>
      </c>
      <c r="L138" s="11" t="s">
        <v>17</v>
      </c>
      <c r="M138" s="11" t="s">
        <v>185</v>
      </c>
      <c r="N138" s="27">
        <v>100</v>
      </c>
      <c r="O138" s="31">
        <v>8.9090000000000007</v>
      </c>
      <c r="P138" s="22">
        <f t="shared" si="2"/>
        <v>890.90000000000009</v>
      </c>
    </row>
    <row r="139" spans="2:16" x14ac:dyDescent="0.25">
      <c r="B139" s="13">
        <v>46086</v>
      </c>
      <c r="C139" s="11">
        <v>55</v>
      </c>
      <c r="D139" s="11">
        <v>56</v>
      </c>
      <c r="E139" s="11">
        <v>56</v>
      </c>
      <c r="F139" s="11" t="s">
        <v>209</v>
      </c>
      <c r="G139" s="11" t="s">
        <v>63</v>
      </c>
      <c r="H139" s="14" t="s">
        <v>15</v>
      </c>
      <c r="I139" s="12">
        <v>503300250045</v>
      </c>
      <c r="J139" s="27">
        <v>100</v>
      </c>
      <c r="K139" s="14" t="s">
        <v>129</v>
      </c>
      <c r="L139" s="11" t="s">
        <v>17</v>
      </c>
      <c r="M139" s="11" t="s">
        <v>186</v>
      </c>
      <c r="N139" s="27">
        <v>100</v>
      </c>
      <c r="O139" s="31">
        <v>6.1360000000000001</v>
      </c>
      <c r="P139" s="22">
        <f t="shared" si="2"/>
        <v>613.6</v>
      </c>
    </row>
    <row r="140" spans="2:16" x14ac:dyDescent="0.25">
      <c r="B140" s="13">
        <v>46078</v>
      </c>
      <c r="C140" s="11">
        <v>44</v>
      </c>
      <c r="D140" s="11">
        <v>43</v>
      </c>
      <c r="E140" s="11">
        <v>43</v>
      </c>
      <c r="F140" s="11" t="s">
        <v>209</v>
      </c>
      <c r="G140" s="11" t="s">
        <v>63</v>
      </c>
      <c r="H140" s="14" t="s">
        <v>15</v>
      </c>
      <c r="I140" s="12">
        <v>91100070041</v>
      </c>
      <c r="J140" s="27">
        <v>33</v>
      </c>
      <c r="K140" s="14" t="s">
        <v>187</v>
      </c>
      <c r="L140" s="11" t="s">
        <v>17</v>
      </c>
      <c r="M140" s="11" t="s">
        <v>188</v>
      </c>
      <c r="N140" s="27">
        <v>33</v>
      </c>
      <c r="O140" s="31">
        <v>23.021818</v>
      </c>
      <c r="P140" s="22">
        <f t="shared" si="2"/>
        <v>759.71999400000004</v>
      </c>
    </row>
    <row r="141" spans="2:16" x14ac:dyDescent="0.25">
      <c r="B141" s="13">
        <v>46078</v>
      </c>
      <c r="C141" s="11">
        <v>47</v>
      </c>
      <c r="D141" s="11">
        <v>42</v>
      </c>
      <c r="E141" s="11">
        <v>42</v>
      </c>
      <c r="F141" s="11" t="s">
        <v>209</v>
      </c>
      <c r="G141" s="11" t="s">
        <v>206</v>
      </c>
      <c r="H141" s="14" t="s">
        <v>21</v>
      </c>
      <c r="I141" s="12">
        <v>716000010208</v>
      </c>
      <c r="J141" s="27">
        <v>150</v>
      </c>
      <c r="K141" s="14" t="s">
        <v>26</v>
      </c>
      <c r="L141" s="11" t="s">
        <v>17</v>
      </c>
      <c r="M141" s="11" t="s">
        <v>24</v>
      </c>
      <c r="N141" s="27">
        <v>150</v>
      </c>
      <c r="O141" s="31">
        <v>0.38</v>
      </c>
      <c r="P141" s="22">
        <f t="shared" si="2"/>
        <v>57</v>
      </c>
    </row>
    <row r="142" spans="2:16" x14ac:dyDescent="0.25">
      <c r="B142" s="13">
        <v>46078</v>
      </c>
      <c r="C142" s="11">
        <v>47</v>
      </c>
      <c r="D142" s="11">
        <v>42</v>
      </c>
      <c r="E142" s="11">
        <v>42</v>
      </c>
      <c r="F142" s="11" t="s">
        <v>209</v>
      </c>
      <c r="G142" s="11" t="s">
        <v>14</v>
      </c>
      <c r="H142" s="14" t="s">
        <v>21</v>
      </c>
      <c r="I142" s="12">
        <v>716000010208</v>
      </c>
      <c r="J142" s="27">
        <v>150</v>
      </c>
      <c r="K142" s="14" t="s">
        <v>26</v>
      </c>
      <c r="L142" s="11" t="s">
        <v>17</v>
      </c>
      <c r="M142" s="11" t="s">
        <v>24</v>
      </c>
      <c r="N142" s="27">
        <v>150</v>
      </c>
      <c r="O142" s="31">
        <v>0.38</v>
      </c>
      <c r="P142" s="22">
        <f t="shared" ref="P142" si="6">N142*O142</f>
        <v>57</v>
      </c>
    </row>
    <row r="143" spans="2:16" x14ac:dyDescent="0.25">
      <c r="B143" s="13">
        <v>46078</v>
      </c>
      <c r="C143" s="11">
        <v>47</v>
      </c>
      <c r="D143" s="11">
        <v>42</v>
      </c>
      <c r="E143" s="11">
        <v>42</v>
      </c>
      <c r="F143" s="11" t="s">
        <v>209</v>
      </c>
      <c r="G143" s="11" t="s">
        <v>206</v>
      </c>
      <c r="H143" s="14" t="s">
        <v>21</v>
      </c>
      <c r="I143" s="12">
        <v>716000010209</v>
      </c>
      <c r="J143" s="27">
        <v>110</v>
      </c>
      <c r="K143" s="14" t="s">
        <v>27</v>
      </c>
      <c r="L143" s="11" t="s">
        <v>17</v>
      </c>
      <c r="M143" s="11" t="s">
        <v>24</v>
      </c>
      <c r="N143" s="27">
        <v>110</v>
      </c>
      <c r="O143" s="31">
        <v>0.38</v>
      </c>
      <c r="P143" s="22">
        <f t="shared" si="2"/>
        <v>41.8</v>
      </c>
    </row>
    <row r="144" spans="2:16" x14ac:dyDescent="0.25">
      <c r="B144" s="13">
        <v>46078</v>
      </c>
      <c r="C144" s="11">
        <v>47</v>
      </c>
      <c r="D144" s="11">
        <v>42</v>
      </c>
      <c r="E144" s="11">
        <v>42</v>
      </c>
      <c r="F144" s="11" t="s">
        <v>209</v>
      </c>
      <c r="G144" s="11" t="s">
        <v>14</v>
      </c>
      <c r="H144" s="14" t="s">
        <v>21</v>
      </c>
      <c r="I144" s="12">
        <v>716000010209</v>
      </c>
      <c r="J144" s="27">
        <v>50</v>
      </c>
      <c r="K144" s="14" t="s">
        <v>27</v>
      </c>
      <c r="L144" s="11" t="s">
        <v>17</v>
      </c>
      <c r="M144" s="11" t="s">
        <v>24</v>
      </c>
      <c r="N144" s="27">
        <v>50</v>
      </c>
      <c r="O144" s="31">
        <v>0.38</v>
      </c>
      <c r="P144" s="22">
        <f t="shared" ref="P144" si="7">N144*O144</f>
        <v>19</v>
      </c>
    </row>
    <row r="145" spans="2:16" x14ac:dyDescent="0.25">
      <c r="B145" s="13">
        <v>46078</v>
      </c>
      <c r="C145" s="11">
        <v>47</v>
      </c>
      <c r="D145" s="11">
        <v>42</v>
      </c>
      <c r="E145" s="11">
        <v>42</v>
      </c>
      <c r="F145" s="11" t="s">
        <v>209</v>
      </c>
      <c r="G145" s="11" t="s">
        <v>206</v>
      </c>
      <c r="H145" s="14" t="s">
        <v>21</v>
      </c>
      <c r="I145" s="12">
        <v>716000010187</v>
      </c>
      <c r="J145" s="27">
        <v>110</v>
      </c>
      <c r="K145" s="14" t="s">
        <v>28</v>
      </c>
      <c r="L145" s="11" t="s">
        <v>17</v>
      </c>
      <c r="M145" s="11" t="s">
        <v>24</v>
      </c>
      <c r="N145" s="27">
        <v>110</v>
      </c>
      <c r="O145" s="31">
        <v>0.38</v>
      </c>
      <c r="P145" s="22">
        <f t="shared" si="2"/>
        <v>41.8</v>
      </c>
    </row>
    <row r="146" spans="2:16" x14ac:dyDescent="0.25">
      <c r="B146" s="13">
        <v>46078</v>
      </c>
      <c r="C146" s="11">
        <v>47</v>
      </c>
      <c r="D146" s="11">
        <v>42</v>
      </c>
      <c r="E146" s="11">
        <v>42</v>
      </c>
      <c r="F146" s="11" t="s">
        <v>209</v>
      </c>
      <c r="G146" s="11" t="s">
        <v>14</v>
      </c>
      <c r="H146" s="14" t="s">
        <v>21</v>
      </c>
      <c r="I146" s="12">
        <v>716000010187</v>
      </c>
      <c r="J146" s="27">
        <v>110</v>
      </c>
      <c r="K146" s="14" t="s">
        <v>28</v>
      </c>
      <c r="L146" s="11" t="s">
        <v>17</v>
      </c>
      <c r="M146" s="11" t="s">
        <v>24</v>
      </c>
      <c r="N146" s="27">
        <v>110</v>
      </c>
      <c r="O146" s="31">
        <v>0.38</v>
      </c>
      <c r="P146" s="22">
        <f t="shared" ref="P146:P147" si="8">N146*O146</f>
        <v>41.8</v>
      </c>
    </row>
    <row r="147" spans="2:16" x14ac:dyDescent="0.25">
      <c r="B147" s="13">
        <v>46078</v>
      </c>
      <c r="C147" s="11">
        <v>47</v>
      </c>
      <c r="D147" s="11">
        <v>42</v>
      </c>
      <c r="E147" s="11">
        <v>42</v>
      </c>
      <c r="F147" s="11" t="s">
        <v>209</v>
      </c>
      <c r="G147" s="11" t="s">
        <v>206</v>
      </c>
      <c r="H147" s="14" t="s">
        <v>21</v>
      </c>
      <c r="I147" s="12">
        <v>710300160006</v>
      </c>
      <c r="J147" s="27">
        <v>3</v>
      </c>
      <c r="K147" s="14" t="s">
        <v>189</v>
      </c>
      <c r="L147" s="11" t="s">
        <v>17</v>
      </c>
      <c r="M147" s="11" t="s">
        <v>193</v>
      </c>
      <c r="N147" s="27">
        <v>3</v>
      </c>
      <c r="O147" s="31">
        <v>4.9000000000000004</v>
      </c>
      <c r="P147" s="22">
        <f t="shared" si="8"/>
        <v>14.700000000000001</v>
      </c>
    </row>
    <row r="148" spans="2:16" x14ac:dyDescent="0.25">
      <c r="B148" s="13">
        <v>46078</v>
      </c>
      <c r="C148" s="11">
        <v>47</v>
      </c>
      <c r="D148" s="11">
        <v>42</v>
      </c>
      <c r="E148" s="11">
        <v>42</v>
      </c>
      <c r="F148" s="11" t="s">
        <v>209</v>
      </c>
      <c r="G148" s="11" t="s">
        <v>14</v>
      </c>
      <c r="H148" s="14" t="s">
        <v>21</v>
      </c>
      <c r="I148" s="12">
        <v>710300160006</v>
      </c>
      <c r="J148" s="27">
        <v>3</v>
      </c>
      <c r="K148" s="14" t="s">
        <v>189</v>
      </c>
      <c r="L148" s="11" t="s">
        <v>17</v>
      </c>
      <c r="M148" s="11" t="s">
        <v>193</v>
      </c>
      <c r="N148" s="27">
        <v>3</v>
      </c>
      <c r="O148" s="31">
        <v>4.9000000000000004</v>
      </c>
      <c r="P148" s="22">
        <f t="shared" si="2"/>
        <v>14.700000000000001</v>
      </c>
    </row>
    <row r="149" spans="2:16" x14ac:dyDescent="0.25">
      <c r="B149" s="13">
        <v>46078</v>
      </c>
      <c r="C149" s="11">
        <v>47</v>
      </c>
      <c r="D149" s="11">
        <v>42</v>
      </c>
      <c r="E149" s="11">
        <v>42</v>
      </c>
      <c r="F149" s="11" t="s">
        <v>209</v>
      </c>
      <c r="G149" s="11" t="s">
        <v>206</v>
      </c>
      <c r="H149" s="14" t="s">
        <v>21</v>
      </c>
      <c r="I149" s="12">
        <v>503300250045</v>
      </c>
      <c r="J149" s="27">
        <v>3</v>
      </c>
      <c r="K149" s="14" t="s">
        <v>129</v>
      </c>
      <c r="L149" s="11" t="s">
        <v>17</v>
      </c>
      <c r="M149" s="11" t="s">
        <v>193</v>
      </c>
      <c r="N149" s="27">
        <v>3</v>
      </c>
      <c r="O149" s="31">
        <v>2.5</v>
      </c>
      <c r="P149" s="22">
        <f t="shared" ref="P149:P181" si="9">N149*O149</f>
        <v>7.5</v>
      </c>
    </row>
    <row r="150" spans="2:16" x14ac:dyDescent="0.25">
      <c r="B150" s="13">
        <v>46078</v>
      </c>
      <c r="C150" s="11">
        <v>47</v>
      </c>
      <c r="D150" s="11">
        <v>42</v>
      </c>
      <c r="E150" s="11">
        <v>42</v>
      </c>
      <c r="F150" s="11" t="s">
        <v>209</v>
      </c>
      <c r="G150" s="11" t="s">
        <v>14</v>
      </c>
      <c r="H150" s="14" t="s">
        <v>21</v>
      </c>
      <c r="I150" s="12">
        <v>503300250045</v>
      </c>
      <c r="J150" s="27">
        <v>3</v>
      </c>
      <c r="K150" s="14" t="s">
        <v>129</v>
      </c>
      <c r="L150" s="11" t="s">
        <v>17</v>
      </c>
      <c r="M150" s="11" t="s">
        <v>193</v>
      </c>
      <c r="N150" s="27">
        <v>3</v>
      </c>
      <c r="O150" s="31">
        <v>2.5</v>
      </c>
      <c r="P150" s="22">
        <f t="shared" ref="P150:P151" si="10">N150*O150</f>
        <v>7.5</v>
      </c>
    </row>
    <row r="151" spans="2:16" x14ac:dyDescent="0.25">
      <c r="B151" s="13">
        <v>46078</v>
      </c>
      <c r="C151" s="11">
        <v>47</v>
      </c>
      <c r="D151" s="11">
        <v>42</v>
      </c>
      <c r="E151" s="11">
        <v>42</v>
      </c>
      <c r="F151" s="11" t="s">
        <v>209</v>
      </c>
      <c r="G151" s="11" t="s">
        <v>206</v>
      </c>
      <c r="H151" s="14" t="s">
        <v>21</v>
      </c>
      <c r="I151" s="12">
        <v>718500050058</v>
      </c>
      <c r="J151" s="27">
        <v>10</v>
      </c>
      <c r="K151" s="14" t="s">
        <v>190</v>
      </c>
      <c r="L151" s="11" t="s">
        <v>17</v>
      </c>
      <c r="M151" s="11" t="s">
        <v>24</v>
      </c>
      <c r="N151" s="27">
        <v>10</v>
      </c>
      <c r="O151" s="31">
        <v>0.95</v>
      </c>
      <c r="P151" s="22">
        <f t="shared" si="10"/>
        <v>9.5</v>
      </c>
    </row>
    <row r="152" spans="2:16" x14ac:dyDescent="0.25">
      <c r="B152" s="13">
        <v>46078</v>
      </c>
      <c r="C152" s="11">
        <v>47</v>
      </c>
      <c r="D152" s="11">
        <v>42</v>
      </c>
      <c r="E152" s="11">
        <v>42</v>
      </c>
      <c r="F152" s="11" t="s">
        <v>209</v>
      </c>
      <c r="G152" s="11" t="s">
        <v>14</v>
      </c>
      <c r="H152" s="14" t="s">
        <v>21</v>
      </c>
      <c r="I152" s="12">
        <v>718500050058</v>
      </c>
      <c r="J152" s="27">
        <v>10</v>
      </c>
      <c r="K152" s="14" t="s">
        <v>190</v>
      </c>
      <c r="L152" s="11" t="s">
        <v>17</v>
      </c>
      <c r="M152" s="11" t="s">
        <v>24</v>
      </c>
      <c r="N152" s="27">
        <v>10</v>
      </c>
      <c r="O152" s="31">
        <v>0.95</v>
      </c>
      <c r="P152" s="22">
        <f t="shared" si="9"/>
        <v>9.5</v>
      </c>
    </row>
    <row r="153" spans="2:16" x14ac:dyDescent="0.25">
      <c r="B153" s="13">
        <v>46078</v>
      </c>
      <c r="C153" s="11">
        <v>47</v>
      </c>
      <c r="D153" s="11">
        <v>42</v>
      </c>
      <c r="E153" s="11">
        <v>42</v>
      </c>
      <c r="F153" s="11" t="s">
        <v>209</v>
      </c>
      <c r="G153" s="11" t="s">
        <v>206</v>
      </c>
      <c r="H153" s="14" t="s">
        <v>21</v>
      </c>
      <c r="I153" s="12">
        <v>718500050041</v>
      </c>
      <c r="J153" s="27">
        <v>5</v>
      </c>
      <c r="K153" s="14" t="s">
        <v>22</v>
      </c>
      <c r="L153" s="11" t="s">
        <v>17</v>
      </c>
      <c r="M153" s="11" t="s">
        <v>23</v>
      </c>
      <c r="N153" s="27">
        <v>5</v>
      </c>
      <c r="O153" s="31">
        <v>3.15</v>
      </c>
      <c r="P153" s="22">
        <f t="shared" ref="P153" si="11">N153*O153</f>
        <v>15.75</v>
      </c>
    </row>
    <row r="154" spans="2:16" x14ac:dyDescent="0.25">
      <c r="B154" s="13">
        <v>46078</v>
      </c>
      <c r="C154" s="11">
        <v>47</v>
      </c>
      <c r="D154" s="11">
        <v>42</v>
      </c>
      <c r="E154" s="11">
        <v>42</v>
      </c>
      <c r="F154" s="11" t="s">
        <v>209</v>
      </c>
      <c r="G154" s="11" t="s">
        <v>14</v>
      </c>
      <c r="H154" s="14" t="s">
        <v>21</v>
      </c>
      <c r="I154" s="12">
        <v>718500050041</v>
      </c>
      <c r="J154" s="27">
        <v>5</v>
      </c>
      <c r="K154" s="14" t="s">
        <v>22</v>
      </c>
      <c r="L154" s="11" t="s">
        <v>17</v>
      </c>
      <c r="M154" s="11" t="s">
        <v>23</v>
      </c>
      <c r="N154" s="27">
        <v>5</v>
      </c>
      <c r="O154" s="31">
        <v>3.15</v>
      </c>
      <c r="P154" s="22">
        <f t="shared" si="9"/>
        <v>15.75</v>
      </c>
    </row>
    <row r="155" spans="2:16" x14ac:dyDescent="0.25">
      <c r="B155" s="13">
        <v>46078</v>
      </c>
      <c r="C155" s="11">
        <v>47</v>
      </c>
      <c r="D155" s="11">
        <v>42</v>
      </c>
      <c r="E155" s="11">
        <v>42</v>
      </c>
      <c r="F155" s="11" t="s">
        <v>209</v>
      </c>
      <c r="G155" s="11" t="s">
        <v>206</v>
      </c>
      <c r="H155" s="14" t="s">
        <v>21</v>
      </c>
      <c r="I155" s="12">
        <v>717200030013</v>
      </c>
      <c r="J155" s="27">
        <v>28</v>
      </c>
      <c r="K155" s="14" t="s">
        <v>30</v>
      </c>
      <c r="L155" s="11" t="s">
        <v>17</v>
      </c>
      <c r="M155" s="11" t="s">
        <v>193</v>
      </c>
      <c r="N155" s="27">
        <v>28</v>
      </c>
      <c r="O155" s="31">
        <v>4.4000000000000004</v>
      </c>
      <c r="P155" s="22">
        <f t="shared" ref="P155" si="12">N155*O155</f>
        <v>123.20000000000002</v>
      </c>
    </row>
    <row r="156" spans="2:16" x14ac:dyDescent="0.25">
      <c r="B156" s="13">
        <v>46078</v>
      </c>
      <c r="C156" s="11">
        <v>47</v>
      </c>
      <c r="D156" s="11">
        <v>42</v>
      </c>
      <c r="E156" s="11">
        <v>42</v>
      </c>
      <c r="F156" s="11" t="s">
        <v>209</v>
      </c>
      <c r="G156" s="11" t="s">
        <v>14</v>
      </c>
      <c r="H156" s="14" t="s">
        <v>21</v>
      </c>
      <c r="I156" s="12">
        <v>717200030013</v>
      </c>
      <c r="J156" s="27">
        <v>28</v>
      </c>
      <c r="K156" s="14" t="s">
        <v>30</v>
      </c>
      <c r="L156" s="11" t="s">
        <v>17</v>
      </c>
      <c r="M156" s="11" t="s">
        <v>193</v>
      </c>
      <c r="N156" s="27">
        <v>28</v>
      </c>
      <c r="O156" s="31">
        <v>4.4000000000000004</v>
      </c>
      <c r="P156" s="22">
        <f t="shared" si="9"/>
        <v>123.20000000000002</v>
      </c>
    </row>
    <row r="157" spans="2:16" x14ac:dyDescent="0.25">
      <c r="B157" s="13">
        <v>46078</v>
      </c>
      <c r="C157" s="11">
        <v>47</v>
      </c>
      <c r="D157" s="11">
        <v>42</v>
      </c>
      <c r="E157" s="11">
        <v>42</v>
      </c>
      <c r="F157" s="11" t="s">
        <v>209</v>
      </c>
      <c r="G157" s="11" t="s">
        <v>206</v>
      </c>
      <c r="H157" s="14" t="s">
        <v>21</v>
      </c>
      <c r="I157" s="12">
        <v>710600040004</v>
      </c>
      <c r="J157" s="27">
        <v>10</v>
      </c>
      <c r="K157" s="14" t="s">
        <v>52</v>
      </c>
      <c r="L157" s="11" t="s">
        <v>17</v>
      </c>
      <c r="M157" s="11" t="s">
        <v>194</v>
      </c>
      <c r="N157" s="27">
        <v>10</v>
      </c>
      <c r="O157" s="31">
        <v>0.4</v>
      </c>
      <c r="P157" s="22">
        <f t="shared" si="9"/>
        <v>4</v>
      </c>
    </row>
    <row r="158" spans="2:16" x14ac:dyDescent="0.25">
      <c r="B158" s="13">
        <v>46078</v>
      </c>
      <c r="C158" s="11">
        <v>47</v>
      </c>
      <c r="D158" s="11">
        <v>42</v>
      </c>
      <c r="E158" s="11">
        <v>42</v>
      </c>
      <c r="F158" s="11" t="s">
        <v>209</v>
      </c>
      <c r="G158" s="11" t="s">
        <v>14</v>
      </c>
      <c r="H158" s="14" t="s">
        <v>21</v>
      </c>
      <c r="I158" s="12">
        <v>716000040112</v>
      </c>
      <c r="J158" s="27">
        <v>28</v>
      </c>
      <c r="K158" s="14" t="s">
        <v>191</v>
      </c>
      <c r="L158" s="11" t="s">
        <v>17</v>
      </c>
      <c r="M158" s="11" t="s">
        <v>24</v>
      </c>
      <c r="N158" s="27">
        <v>28</v>
      </c>
      <c r="O158" s="31">
        <v>0.31</v>
      </c>
      <c r="P158" s="22">
        <f t="shared" ref="P158" si="13">N158*O158</f>
        <v>8.68</v>
      </c>
    </row>
    <row r="159" spans="2:16" x14ac:dyDescent="0.25">
      <c r="B159" s="13">
        <v>46078</v>
      </c>
      <c r="C159" s="11">
        <v>47</v>
      </c>
      <c r="D159" s="11">
        <v>42</v>
      </c>
      <c r="E159" s="11">
        <v>42</v>
      </c>
      <c r="F159" s="11" t="s">
        <v>209</v>
      </c>
      <c r="G159" s="11" t="s">
        <v>206</v>
      </c>
      <c r="H159" s="14" t="s">
        <v>21</v>
      </c>
      <c r="I159" s="12">
        <v>716000040112</v>
      </c>
      <c r="J159" s="27">
        <v>28</v>
      </c>
      <c r="K159" s="14" t="s">
        <v>191</v>
      </c>
      <c r="L159" s="11" t="s">
        <v>17</v>
      </c>
      <c r="M159" s="11" t="s">
        <v>24</v>
      </c>
      <c r="N159" s="27">
        <v>28</v>
      </c>
      <c r="O159" s="31">
        <v>0.31</v>
      </c>
      <c r="P159" s="22">
        <f t="shared" si="9"/>
        <v>8.68</v>
      </c>
    </row>
    <row r="160" spans="2:16" x14ac:dyDescent="0.25">
      <c r="B160" s="13">
        <v>46078</v>
      </c>
      <c r="C160" s="11">
        <v>47</v>
      </c>
      <c r="D160" s="11">
        <v>42</v>
      </c>
      <c r="E160" s="11">
        <v>42</v>
      </c>
      <c r="F160" s="11" t="s">
        <v>209</v>
      </c>
      <c r="G160" s="11" t="s">
        <v>14</v>
      </c>
      <c r="H160" s="14" t="s">
        <v>21</v>
      </c>
      <c r="I160" s="12">
        <v>716000060432</v>
      </c>
      <c r="J160" s="27">
        <v>4</v>
      </c>
      <c r="K160" s="14" t="s">
        <v>192</v>
      </c>
      <c r="L160" s="11" t="s">
        <v>17</v>
      </c>
      <c r="M160" s="11" t="s">
        <v>24</v>
      </c>
      <c r="N160" s="27">
        <v>4</v>
      </c>
      <c r="O160" s="31">
        <v>1.2</v>
      </c>
      <c r="P160" s="22">
        <f t="shared" ref="P160" si="14">N160*O160</f>
        <v>4.8</v>
      </c>
    </row>
    <row r="161" spans="2:16" x14ac:dyDescent="0.25">
      <c r="B161" s="13">
        <v>46078</v>
      </c>
      <c r="C161" s="11">
        <v>47</v>
      </c>
      <c r="D161" s="11">
        <v>42</v>
      </c>
      <c r="E161" s="11">
        <v>42</v>
      </c>
      <c r="F161" s="11" t="s">
        <v>209</v>
      </c>
      <c r="G161" s="11" t="s">
        <v>206</v>
      </c>
      <c r="H161" s="14" t="s">
        <v>21</v>
      </c>
      <c r="I161" s="12">
        <v>716000060432</v>
      </c>
      <c r="J161" s="27">
        <v>4</v>
      </c>
      <c r="K161" s="14" t="s">
        <v>192</v>
      </c>
      <c r="L161" s="11" t="s">
        <v>17</v>
      </c>
      <c r="M161" s="11" t="s">
        <v>24</v>
      </c>
      <c r="N161" s="27">
        <v>4</v>
      </c>
      <c r="O161" s="31">
        <v>1.2</v>
      </c>
      <c r="P161" s="22">
        <f t="shared" si="9"/>
        <v>4.8</v>
      </c>
    </row>
    <row r="162" spans="2:16" x14ac:dyDescent="0.25">
      <c r="B162" s="13">
        <v>46078</v>
      </c>
      <c r="C162" s="11">
        <v>47</v>
      </c>
      <c r="D162" s="11">
        <v>42</v>
      </c>
      <c r="E162" s="11">
        <v>42</v>
      </c>
      <c r="F162" s="11" t="s">
        <v>209</v>
      </c>
      <c r="G162" s="11" t="s">
        <v>14</v>
      </c>
      <c r="H162" s="14" t="s">
        <v>21</v>
      </c>
      <c r="I162" s="12">
        <v>716000060413</v>
      </c>
      <c r="J162" s="27">
        <v>5</v>
      </c>
      <c r="K162" s="14" t="s">
        <v>56</v>
      </c>
      <c r="L162" s="11" t="s">
        <v>17</v>
      </c>
      <c r="M162" s="11" t="s">
        <v>46</v>
      </c>
      <c r="N162" s="27">
        <v>5</v>
      </c>
      <c r="O162" s="31">
        <v>1.06</v>
      </c>
      <c r="P162" s="22">
        <f t="shared" ref="P162" si="15">N162*O162</f>
        <v>5.3000000000000007</v>
      </c>
    </row>
    <row r="163" spans="2:16" x14ac:dyDescent="0.25">
      <c r="B163" s="13">
        <v>46078</v>
      </c>
      <c r="C163" s="11">
        <v>47</v>
      </c>
      <c r="D163" s="11">
        <v>42</v>
      </c>
      <c r="E163" s="11">
        <v>42</v>
      </c>
      <c r="F163" s="11" t="s">
        <v>209</v>
      </c>
      <c r="G163" s="11" t="s">
        <v>206</v>
      </c>
      <c r="H163" s="14" t="s">
        <v>21</v>
      </c>
      <c r="I163" s="12">
        <v>716000060413</v>
      </c>
      <c r="J163" s="27">
        <v>5</v>
      </c>
      <c r="K163" s="14" t="s">
        <v>56</v>
      </c>
      <c r="L163" s="11" t="s">
        <v>17</v>
      </c>
      <c r="M163" s="11" t="s">
        <v>46</v>
      </c>
      <c r="N163" s="27">
        <v>5</v>
      </c>
      <c r="O163" s="31">
        <v>1.06</v>
      </c>
      <c r="P163" s="22">
        <f t="shared" si="9"/>
        <v>5.3000000000000007</v>
      </c>
    </row>
    <row r="164" spans="2:16" x14ac:dyDescent="0.25">
      <c r="B164" s="13">
        <v>46078</v>
      </c>
      <c r="C164" s="11">
        <v>47</v>
      </c>
      <c r="D164" s="11">
        <v>42</v>
      </c>
      <c r="E164" s="11">
        <v>42</v>
      </c>
      <c r="F164" s="11" t="s">
        <v>209</v>
      </c>
      <c r="G164" s="11" t="s">
        <v>14</v>
      </c>
      <c r="H164" s="14" t="s">
        <v>21</v>
      </c>
      <c r="I164" s="12">
        <v>716000060443</v>
      </c>
      <c r="J164" s="27">
        <v>7</v>
      </c>
      <c r="K164" s="14" t="s">
        <v>44</v>
      </c>
      <c r="L164" s="11" t="s">
        <v>17</v>
      </c>
      <c r="M164" s="11" t="s">
        <v>24</v>
      </c>
      <c r="N164" s="27">
        <v>7</v>
      </c>
      <c r="O164" s="31">
        <v>0.9</v>
      </c>
      <c r="P164" s="22">
        <f t="shared" ref="P164" si="16">N164*O164</f>
        <v>6.3</v>
      </c>
    </row>
    <row r="165" spans="2:16" x14ac:dyDescent="0.25">
      <c r="B165" s="13">
        <v>46078</v>
      </c>
      <c r="C165" s="11">
        <v>47</v>
      </c>
      <c r="D165" s="11">
        <v>42</v>
      </c>
      <c r="E165" s="11">
        <v>42</v>
      </c>
      <c r="F165" s="11" t="s">
        <v>209</v>
      </c>
      <c r="G165" s="11" t="s">
        <v>206</v>
      </c>
      <c r="H165" s="14" t="s">
        <v>21</v>
      </c>
      <c r="I165" s="12">
        <v>716000060443</v>
      </c>
      <c r="J165" s="27">
        <v>7</v>
      </c>
      <c r="K165" s="14" t="s">
        <v>44</v>
      </c>
      <c r="L165" s="11" t="s">
        <v>17</v>
      </c>
      <c r="M165" s="11" t="s">
        <v>24</v>
      </c>
      <c r="N165" s="27">
        <v>7</v>
      </c>
      <c r="O165" s="31">
        <v>0.9</v>
      </c>
      <c r="P165" s="22">
        <f t="shared" si="9"/>
        <v>6.3</v>
      </c>
    </row>
    <row r="166" spans="2:16" x14ac:dyDescent="0.25">
      <c r="B166" s="13">
        <v>46078</v>
      </c>
      <c r="C166" s="11">
        <v>47</v>
      </c>
      <c r="D166" s="11">
        <v>42</v>
      </c>
      <c r="E166" s="11">
        <v>42</v>
      </c>
      <c r="F166" s="11" t="s">
        <v>209</v>
      </c>
      <c r="G166" s="11" t="s">
        <v>206</v>
      </c>
      <c r="H166" s="14" t="s">
        <v>21</v>
      </c>
      <c r="I166" s="12">
        <v>710600100234</v>
      </c>
      <c r="J166" s="27">
        <v>30</v>
      </c>
      <c r="K166" s="14" t="s">
        <v>195</v>
      </c>
      <c r="L166" s="11" t="s">
        <v>196</v>
      </c>
      <c r="M166" s="11" t="s">
        <v>194</v>
      </c>
      <c r="N166" s="27">
        <v>30</v>
      </c>
      <c r="O166" s="31">
        <v>7.5</v>
      </c>
      <c r="P166" s="22">
        <f t="shared" si="9"/>
        <v>225</v>
      </c>
    </row>
    <row r="167" spans="2:16" x14ac:dyDescent="0.25">
      <c r="B167" s="13">
        <v>46077</v>
      </c>
      <c r="C167" s="11">
        <v>18</v>
      </c>
      <c r="D167" s="11">
        <v>39</v>
      </c>
      <c r="E167" s="11">
        <v>39</v>
      </c>
      <c r="F167" s="11" t="s">
        <v>209</v>
      </c>
      <c r="G167" s="11" t="s">
        <v>14</v>
      </c>
      <c r="H167" s="14" t="s">
        <v>47</v>
      </c>
      <c r="I167" s="12">
        <v>475100018666</v>
      </c>
      <c r="J167" s="27">
        <v>100</v>
      </c>
      <c r="K167" s="14" t="s">
        <v>197</v>
      </c>
      <c r="L167" s="11" t="s">
        <v>49</v>
      </c>
      <c r="M167" s="11" t="s">
        <v>31</v>
      </c>
      <c r="N167" s="27">
        <v>100</v>
      </c>
      <c r="O167" s="31">
        <v>429</v>
      </c>
      <c r="P167" s="22">
        <f t="shared" si="9"/>
        <v>42900</v>
      </c>
    </row>
    <row r="168" spans="2:16" x14ac:dyDescent="0.25">
      <c r="B168" s="13">
        <v>46050</v>
      </c>
      <c r="C168" s="11">
        <v>6</v>
      </c>
      <c r="D168" s="11">
        <v>6</v>
      </c>
      <c r="E168" s="11">
        <v>6</v>
      </c>
      <c r="F168" s="11" t="s">
        <v>209</v>
      </c>
      <c r="G168" s="11" t="s">
        <v>63</v>
      </c>
      <c r="H168" s="14" t="s">
        <v>15</v>
      </c>
      <c r="I168" s="12">
        <v>767500590010</v>
      </c>
      <c r="J168" s="27">
        <v>56000</v>
      </c>
      <c r="K168" s="14" t="s">
        <v>198</v>
      </c>
      <c r="L168" s="11" t="s">
        <v>17</v>
      </c>
      <c r="M168" s="11" t="s">
        <v>31</v>
      </c>
      <c r="N168" s="27">
        <v>56000</v>
      </c>
      <c r="O168" s="31">
        <v>27</v>
      </c>
      <c r="P168" s="22">
        <f t="shared" si="9"/>
        <v>1512000</v>
      </c>
    </row>
    <row r="169" spans="2:16" x14ac:dyDescent="0.25">
      <c r="B169" s="13">
        <v>46050</v>
      </c>
      <c r="C169" s="11">
        <v>6</v>
      </c>
      <c r="D169" s="11">
        <v>6</v>
      </c>
      <c r="E169" s="11">
        <v>6</v>
      </c>
      <c r="F169" s="11" t="s">
        <v>209</v>
      </c>
      <c r="G169" s="11" t="s">
        <v>63</v>
      </c>
      <c r="H169" s="14" t="s">
        <v>15</v>
      </c>
      <c r="I169" s="12">
        <v>767500590014</v>
      </c>
      <c r="J169" s="27">
        <v>350</v>
      </c>
      <c r="K169" s="14" t="s">
        <v>199</v>
      </c>
      <c r="L169" s="11" t="s">
        <v>17</v>
      </c>
      <c r="M169" s="11" t="s">
        <v>31</v>
      </c>
      <c r="N169" s="27">
        <v>350</v>
      </c>
      <c r="O169" s="31">
        <v>28</v>
      </c>
      <c r="P169" s="22">
        <f t="shared" si="9"/>
        <v>9800</v>
      </c>
    </row>
    <row r="170" spans="2:16" x14ac:dyDescent="0.25">
      <c r="B170" s="13">
        <v>46035</v>
      </c>
      <c r="C170" s="11" t="s">
        <v>200</v>
      </c>
      <c r="D170" s="11">
        <v>2</v>
      </c>
      <c r="E170" s="11">
        <v>2</v>
      </c>
      <c r="F170" s="11"/>
      <c r="G170" s="11"/>
      <c r="H170" s="14" t="s">
        <v>15</v>
      </c>
      <c r="I170" s="12">
        <v>952281170067</v>
      </c>
      <c r="J170" s="27">
        <v>2</v>
      </c>
      <c r="K170" s="14" t="s">
        <v>201</v>
      </c>
      <c r="L170" s="11" t="s">
        <v>17</v>
      </c>
      <c r="M170" s="11" t="s">
        <v>41</v>
      </c>
      <c r="N170" s="27">
        <v>2</v>
      </c>
      <c r="O170" s="31">
        <v>115199.86</v>
      </c>
      <c r="P170" s="22">
        <f t="shared" si="9"/>
        <v>230399.72</v>
      </c>
    </row>
    <row r="171" spans="2:16" x14ac:dyDescent="0.25">
      <c r="B171" s="13">
        <v>46174</v>
      </c>
      <c r="C171" s="11">
        <v>330</v>
      </c>
      <c r="D171" s="11"/>
      <c r="E171" s="11"/>
      <c r="F171" s="11" t="s">
        <v>204</v>
      </c>
      <c r="G171" s="11" t="s">
        <v>202</v>
      </c>
      <c r="H171" s="14" t="s">
        <v>21</v>
      </c>
      <c r="I171" s="12">
        <v>716000040112</v>
      </c>
      <c r="J171" s="27">
        <v>50</v>
      </c>
      <c r="K171" s="14" t="s">
        <v>191</v>
      </c>
      <c r="L171" s="11" t="s">
        <v>17</v>
      </c>
      <c r="M171" s="11" t="s">
        <v>31</v>
      </c>
      <c r="N171" s="27">
        <v>50</v>
      </c>
      <c r="O171" s="31">
        <v>0.53100000000000003</v>
      </c>
      <c r="P171" s="22">
        <f t="shared" si="9"/>
        <v>26.55</v>
      </c>
    </row>
    <row r="172" spans="2:16" x14ac:dyDescent="0.25">
      <c r="B172" s="13">
        <v>46155</v>
      </c>
      <c r="C172" s="11">
        <v>240</v>
      </c>
      <c r="D172" s="11">
        <v>291</v>
      </c>
      <c r="E172" s="11">
        <v>293</v>
      </c>
      <c r="F172" s="11" t="s">
        <v>207</v>
      </c>
      <c r="G172" s="11" t="s">
        <v>205</v>
      </c>
      <c r="H172" s="14" t="s">
        <v>50</v>
      </c>
      <c r="I172" s="12">
        <v>717200050225</v>
      </c>
      <c r="J172" s="27">
        <v>15</v>
      </c>
      <c r="K172" s="14" t="s">
        <v>120</v>
      </c>
      <c r="L172" s="11" t="s">
        <v>122</v>
      </c>
      <c r="M172" s="11" t="s">
        <v>31</v>
      </c>
      <c r="N172" s="27">
        <v>21</v>
      </c>
      <c r="O172" s="31">
        <v>38.4208</v>
      </c>
      <c r="P172" s="22">
        <f t="shared" si="9"/>
        <v>806.83680000000004</v>
      </c>
    </row>
    <row r="173" spans="2:16" x14ac:dyDescent="0.25">
      <c r="B173" s="13">
        <v>46107</v>
      </c>
      <c r="C173" s="11">
        <v>127</v>
      </c>
      <c r="D173" s="11">
        <v>123</v>
      </c>
      <c r="E173" s="11">
        <v>125</v>
      </c>
      <c r="F173" s="11" t="s">
        <v>209</v>
      </c>
      <c r="G173" s="11" t="s">
        <v>206</v>
      </c>
      <c r="H173" s="14" t="s">
        <v>21</v>
      </c>
      <c r="I173" s="12">
        <v>718500080026</v>
      </c>
      <c r="J173" s="27">
        <v>13</v>
      </c>
      <c r="K173" s="14" t="s">
        <v>126</v>
      </c>
      <c r="L173" s="11" t="s">
        <v>17</v>
      </c>
      <c r="M173" s="11" t="s">
        <v>31</v>
      </c>
      <c r="N173" s="27">
        <v>13</v>
      </c>
      <c r="O173" s="31">
        <v>2.95</v>
      </c>
      <c r="P173" s="22">
        <f t="shared" si="9"/>
        <v>38.35</v>
      </c>
    </row>
    <row r="174" spans="2:16" x14ac:dyDescent="0.25">
      <c r="B174" s="13">
        <v>46090</v>
      </c>
      <c r="C174" s="11">
        <v>84</v>
      </c>
      <c r="D174" s="11"/>
      <c r="E174" s="11"/>
      <c r="F174" s="11" t="s">
        <v>209</v>
      </c>
      <c r="G174" s="11" t="s">
        <v>14</v>
      </c>
      <c r="H174" s="14" t="s">
        <v>21</v>
      </c>
      <c r="I174" s="12"/>
      <c r="J174" s="27">
        <v>6</v>
      </c>
      <c r="K174" s="14" t="s">
        <v>210</v>
      </c>
      <c r="L174" s="11" t="s">
        <v>17</v>
      </c>
      <c r="M174" s="11" t="s">
        <v>100</v>
      </c>
      <c r="N174" s="27">
        <v>6</v>
      </c>
      <c r="O174" s="31">
        <v>707.41</v>
      </c>
      <c r="P174" s="22">
        <f t="shared" si="9"/>
        <v>4244.46</v>
      </c>
    </row>
    <row r="175" spans="2:16" x14ac:dyDescent="0.25">
      <c r="B175" s="13">
        <v>46090</v>
      </c>
      <c r="C175" s="11">
        <v>85</v>
      </c>
      <c r="D175" s="11"/>
      <c r="E175" s="11"/>
      <c r="F175" s="11" t="s">
        <v>209</v>
      </c>
      <c r="G175" s="11" t="s">
        <v>14</v>
      </c>
      <c r="H175" s="14" t="s">
        <v>21</v>
      </c>
      <c r="I175" s="12"/>
      <c r="J175" s="27">
        <v>10</v>
      </c>
      <c r="K175" s="14" t="s">
        <v>211</v>
      </c>
      <c r="L175" s="11" t="s">
        <v>17</v>
      </c>
      <c r="M175" s="11" t="s">
        <v>100</v>
      </c>
      <c r="N175" s="27">
        <v>10</v>
      </c>
      <c r="O175" s="31">
        <v>458.6</v>
      </c>
      <c r="P175" s="22">
        <f t="shared" si="9"/>
        <v>4586</v>
      </c>
    </row>
    <row r="176" spans="2:16" x14ac:dyDescent="0.25">
      <c r="B176" s="13">
        <v>46090</v>
      </c>
      <c r="C176" s="11">
        <v>86</v>
      </c>
      <c r="D176" s="11"/>
      <c r="E176" s="11"/>
      <c r="F176" s="11"/>
      <c r="G176" s="11"/>
      <c r="H176" s="14" t="s">
        <v>21</v>
      </c>
      <c r="I176" s="12"/>
      <c r="J176" s="27">
        <v>2</v>
      </c>
      <c r="K176" s="14" t="s">
        <v>212</v>
      </c>
      <c r="L176" s="11" t="s">
        <v>17</v>
      </c>
      <c r="M176" s="11" t="s">
        <v>100</v>
      </c>
      <c r="N176" s="27">
        <v>2</v>
      </c>
      <c r="O176" s="31">
        <v>576.26499999999999</v>
      </c>
      <c r="P176" s="22">
        <f t="shared" si="9"/>
        <v>1152.53</v>
      </c>
    </row>
    <row r="177" spans="2:16" x14ac:dyDescent="0.25">
      <c r="B177" s="13">
        <v>46090</v>
      </c>
      <c r="C177" s="11">
        <v>89</v>
      </c>
      <c r="D177" s="11"/>
      <c r="E177" s="11"/>
      <c r="F177" s="11"/>
      <c r="G177" s="11"/>
      <c r="H177" s="14" t="s">
        <v>21</v>
      </c>
      <c r="I177" s="12"/>
      <c r="J177" s="27">
        <v>2</v>
      </c>
      <c r="K177" s="14" t="s">
        <v>213</v>
      </c>
      <c r="L177" s="11" t="s">
        <v>17</v>
      </c>
      <c r="M177" s="11" t="s">
        <v>100</v>
      </c>
      <c r="N177" s="27">
        <v>2</v>
      </c>
      <c r="O177" s="31">
        <v>576.26499999999999</v>
      </c>
      <c r="P177" s="22">
        <f t="shared" si="9"/>
        <v>1152.53</v>
      </c>
    </row>
    <row r="178" spans="2:16" x14ac:dyDescent="0.25">
      <c r="B178" s="13">
        <v>46090</v>
      </c>
      <c r="C178" s="11">
        <v>88</v>
      </c>
      <c r="D178" s="11"/>
      <c r="E178" s="11"/>
      <c r="F178" s="11"/>
      <c r="G178" s="11"/>
      <c r="H178" s="14" t="s">
        <v>21</v>
      </c>
      <c r="I178" s="12"/>
      <c r="J178" s="27">
        <v>1</v>
      </c>
      <c r="K178" s="14" t="s">
        <v>214</v>
      </c>
      <c r="L178" s="11" t="s">
        <v>17</v>
      </c>
      <c r="M178" s="11" t="s">
        <v>100</v>
      </c>
      <c r="N178" s="27">
        <v>1</v>
      </c>
      <c r="O178" s="31">
        <v>505.44</v>
      </c>
      <c r="P178" s="22">
        <f t="shared" si="9"/>
        <v>505.44</v>
      </c>
    </row>
    <row r="179" spans="2:16" x14ac:dyDescent="0.25">
      <c r="B179" s="13">
        <v>46090</v>
      </c>
      <c r="C179" s="11">
        <v>90</v>
      </c>
      <c r="D179" s="11"/>
      <c r="E179" s="11"/>
      <c r="F179" s="11"/>
      <c r="G179" s="11"/>
      <c r="H179" s="14" t="s">
        <v>21</v>
      </c>
      <c r="I179" s="12"/>
      <c r="J179" s="27">
        <v>1</v>
      </c>
      <c r="K179" s="14" t="s">
        <v>215</v>
      </c>
      <c r="L179" s="11" t="s">
        <v>17</v>
      </c>
      <c r="M179" s="11" t="s">
        <v>100</v>
      </c>
      <c r="N179" s="27">
        <v>1</v>
      </c>
      <c r="O179" s="31">
        <v>774.98</v>
      </c>
      <c r="P179" s="22">
        <f t="shared" si="9"/>
        <v>774.98</v>
      </c>
    </row>
    <row r="180" spans="2:16" x14ac:dyDescent="0.25">
      <c r="B180" s="42">
        <v>46090</v>
      </c>
      <c r="C180" s="41">
        <v>87</v>
      </c>
      <c r="D180" s="41"/>
      <c r="E180" s="41"/>
      <c r="F180" s="41"/>
      <c r="G180" s="41"/>
      <c r="H180" s="43" t="s">
        <v>21</v>
      </c>
      <c r="I180" s="44"/>
      <c r="J180" s="45">
        <v>2</v>
      </c>
      <c r="K180" s="43" t="s">
        <v>216</v>
      </c>
      <c r="L180" s="11" t="s">
        <v>17</v>
      </c>
      <c r="M180" s="41" t="s">
        <v>100</v>
      </c>
      <c r="N180" s="45">
        <v>2</v>
      </c>
      <c r="O180" s="46">
        <v>313.96499999999997</v>
      </c>
      <c r="P180" s="47">
        <f t="shared" si="9"/>
        <v>627.92999999999995</v>
      </c>
    </row>
    <row r="181" spans="2:16" x14ac:dyDescent="0.25">
      <c r="B181" s="13">
        <v>46141</v>
      </c>
      <c r="C181" s="11">
        <v>221</v>
      </c>
      <c r="D181" s="11"/>
      <c r="E181" s="11"/>
      <c r="F181" s="11" t="s">
        <v>209</v>
      </c>
      <c r="G181" s="11" t="s">
        <v>63</v>
      </c>
      <c r="H181" s="14" t="s">
        <v>123</v>
      </c>
      <c r="I181" s="12"/>
      <c r="J181" s="27">
        <v>20</v>
      </c>
      <c r="K181" s="14" t="s">
        <v>217</v>
      </c>
      <c r="L181" s="11" t="s">
        <v>17</v>
      </c>
      <c r="M181" s="11" t="s">
        <v>31</v>
      </c>
      <c r="N181" s="27">
        <v>20</v>
      </c>
      <c r="O181" s="31">
        <v>7.08</v>
      </c>
      <c r="P181" s="47">
        <f t="shared" si="9"/>
        <v>141.6</v>
      </c>
    </row>
  </sheetData>
  <autoFilter ref="B3:P180" xr:uid="{109D9068-BAF0-4606-93E1-8A076A18FC80}"/>
  <mergeCells count="2">
    <mergeCell ref="M2:P2"/>
    <mergeCell ref="I2:L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Rebeca F. Anaya Florian</dc:creator>
  <cp:lastModifiedBy>Rebeca F. Anaya Florian</cp:lastModifiedBy>
  <dcterms:created xsi:type="dcterms:W3CDTF">2026-07-21T22:46:03Z</dcterms:created>
  <dcterms:modified xsi:type="dcterms:W3CDTF">2026-07-24T23:01:16Z</dcterms:modified>
</cp:coreProperties>
</file>